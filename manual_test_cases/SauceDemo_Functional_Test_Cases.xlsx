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anch\Assesment Playwright\harvee-qa-assessment\manual_test_cases\"/>
    </mc:Choice>
  </mc:AlternateContent>
  <xr:revisionPtr revIDLastSave="0" documentId="13_ncr:1_{6E6E20C4-46E8-4F69-94E4-85209E45B5E3}" xr6:coauthVersionLast="47" xr6:coauthVersionMax="47" xr10:uidLastSave="{00000000-0000-0000-0000-000000000000}"/>
  <bookViews>
    <workbookView xWindow="-110" yWindow="-110" windowWidth="19420" windowHeight="10300" xr2:uid="{00000000-000D-0000-FFFF-FFFF00000000}"/>
  </bookViews>
  <sheets>
    <sheet name="Summary" sheetId="1" r:id="rId1"/>
    <sheet name="Core Test Cases (A1)" sheetId="2" r:id="rId2"/>
    <sheet name="Extended Test Cases" sheetId="3" r:id="rId3"/>
    <sheet name="Bugs" sheetId="4" r:id="rId4"/>
  </sheets>
  <definedNames>
    <definedName name="_xlnm._FilterDatabase" localSheetId="1" hidden="1">'Core Test Cases (A1)'!$A$5:$N$30</definedName>
    <definedName name="_xlnm._FilterDatabase" localSheetId="2" hidden="1">'Extended Test Cases'!$A$5:$N$78</definedName>
  </definedNames>
  <calcPr calcId="181029"/>
</workbook>
</file>

<file path=xl/calcChain.xml><?xml version="1.0" encoding="utf-8"?>
<calcChain xmlns="http://schemas.openxmlformats.org/spreadsheetml/2006/main">
  <c r="E23" i="1" l="1"/>
  <c r="D23" i="1"/>
  <c r="C23" i="1"/>
  <c r="B23" i="1"/>
  <c r="E22" i="1"/>
  <c r="D22" i="1"/>
  <c r="C22" i="1"/>
  <c r="B22" i="1"/>
  <c r="E21" i="1"/>
  <c r="D21" i="1"/>
  <c r="C21" i="1"/>
  <c r="B21" i="1"/>
  <c r="E20" i="1"/>
  <c r="D20" i="1"/>
  <c r="C20" i="1"/>
  <c r="B20" i="1"/>
  <c r="E19" i="1"/>
  <c r="D19" i="1"/>
  <c r="C19" i="1"/>
  <c r="B19" i="1"/>
  <c r="E18" i="1"/>
  <c r="D18" i="1"/>
  <c r="C18" i="1"/>
  <c r="B18" i="1"/>
  <c r="E17" i="1"/>
  <c r="D17" i="1"/>
  <c r="C17" i="1"/>
  <c r="B17" i="1"/>
  <c r="E16" i="1"/>
  <c r="D16" i="1"/>
  <c r="C16" i="1"/>
  <c r="B16" i="1"/>
  <c r="E15" i="1"/>
  <c r="D15" i="1"/>
  <c r="C15" i="1"/>
  <c r="B15" i="1"/>
  <c r="E14" i="1"/>
  <c r="D14" i="1"/>
  <c r="C14" i="1"/>
  <c r="B14" i="1"/>
  <c r="E13" i="1"/>
  <c r="D13" i="1"/>
  <c r="C13" i="1"/>
  <c r="B13" i="1"/>
  <c r="E12" i="1"/>
  <c r="D12" i="1"/>
  <c r="C12" i="1"/>
  <c r="B12" i="1"/>
  <c r="E11" i="1"/>
  <c r="E24" i="1" s="1"/>
  <c r="D11" i="1"/>
  <c r="D24" i="1" s="1"/>
  <c r="C11" i="1"/>
  <c r="C24" i="1" s="1"/>
  <c r="B11" i="1"/>
  <c r="B24" i="1" s="1"/>
  <c r="B8" i="1"/>
  <c r="E6" i="1"/>
  <c r="D6" i="1"/>
  <c r="C6" i="1"/>
  <c r="B6" i="1"/>
  <c r="E5" i="1"/>
  <c r="E7" i="1" s="1"/>
  <c r="D5" i="1"/>
  <c r="D7" i="1" s="1"/>
  <c r="C5" i="1"/>
  <c r="C7" i="1" s="1"/>
  <c r="B5" i="1"/>
  <c r="B7" i="1" s="1"/>
</calcChain>
</file>

<file path=xl/sharedStrings.xml><?xml version="1.0" encoding="utf-8"?>
<sst xmlns="http://schemas.openxmlformats.org/spreadsheetml/2006/main" count="1475" uniqueCount="736">
  <si>
    <t>Test Summary</t>
  </si>
  <si>
    <t>Sauce Demo - Shop and check out - results recorded 27-28 Oct 2026 in Chrome, Firefox and Safari (WebKit)</t>
  </si>
  <si>
    <t>Suite</t>
  </si>
  <si>
    <t>Test Cases</t>
  </si>
  <si>
    <t>Pass</t>
  </si>
  <si>
    <t>Fail</t>
  </si>
  <si>
    <t>Not Run</t>
  </si>
  <si>
    <t>Core Test Cases (A1)</t>
  </si>
  <si>
    <t>Extended Test Cases</t>
  </si>
  <si>
    <t>Total</t>
  </si>
  <si>
    <t>Bugs found</t>
  </si>
  <si>
    <t>Area</t>
  </si>
  <si>
    <t>Login</t>
  </si>
  <si>
    <t>Products</t>
  </si>
  <si>
    <t>Sorting</t>
  </si>
  <si>
    <t>Product Detail</t>
  </si>
  <si>
    <t>Cart</t>
  </si>
  <si>
    <t>Checkout</t>
  </si>
  <si>
    <t>Order Total</t>
  </si>
  <si>
    <t>Order Completion</t>
  </si>
  <si>
    <t>Navigation</t>
  </si>
  <si>
    <t>Session</t>
  </si>
  <si>
    <t>Accessibility</t>
  </si>
  <si>
    <t>Screen size</t>
  </si>
  <si>
    <t>Personas</t>
  </si>
  <si>
    <t>Core Test Cases - Section A1 (25 cases)</t>
  </si>
  <si>
    <t>Use case: Shop and check out. These 25 cases cover every business rule in the brief.</t>
  </si>
  <si>
    <t>Website: https://www.saucedemo.com   |   Password for all users: secret_sauce   |   Results recorded 27-28 Oct 2026 in Chrome, Firefox and Safari (WebKit). Pass = worked in all three browsers. Bug ID "N/A" = no bug found.</t>
  </si>
  <si>
    <t>ID</t>
  </si>
  <si>
    <t>Type</t>
  </si>
  <si>
    <t>Title</t>
  </si>
  <si>
    <t>Pre-conditions</t>
  </si>
  <si>
    <t>Steps</t>
  </si>
  <si>
    <t>Test data</t>
  </si>
  <si>
    <t>Expected result</t>
  </si>
  <si>
    <t>Priority (P1-P3)</t>
  </si>
  <si>
    <t>Automate? (Yes / No) and why</t>
  </si>
  <si>
    <t>Actual Result</t>
  </si>
  <si>
    <t>Status</t>
  </si>
  <si>
    <t>Bug ID</t>
  </si>
  <si>
    <t>Remarks</t>
  </si>
  <si>
    <t>TC01</t>
  </si>
  <si>
    <t>Positive</t>
  </si>
  <si>
    <t>Login with a valid user</t>
  </si>
  <si>
    <t>Use a NEW private / incognito browser window (so the cart is empty and no one is logged in).</t>
  </si>
  <si>
    <t>1. Open https://www.saucedemo.com
2. Enter "standard_user" in Username and "secret_sauce" in Password
3. Click Login
4. Look at the page</t>
  </si>
  <si>
    <t>Username: standard_user
Password: secret_sauce</t>
  </si>
  <si>
    <t>1. Login page shows the Username field, Password field and Login button.
2. Text is typed. Password shows as dots.
3. Products page opens. URL ends with /inventory.html. Title is "Products". Products are listed. No cart number on the cart icon.
4. Menu button (☰) is visible. No error message is shown.</t>
  </si>
  <si>
    <t>P1</t>
  </si>
  <si>
    <t>Yes - smoke test for every build; every journey starts with login.</t>
  </si>
  <si>
    <t>As expected - Menu button (☰) is visible. No error message is shown.</t>
  </si>
  <si>
    <t>N/A</t>
  </si>
  <si>
    <t>TC02</t>
  </si>
  <si>
    <t>Negative</t>
  </si>
  <si>
    <t>Login with a locked user</t>
  </si>
  <si>
    <t>1. Open https://www.saucedemo.com
2. Enter "locked_out_user" and "secret_sauce"
3. Click Login
4. Look at the page and the URL</t>
  </si>
  <si>
    <t>Username: locked_out_user
Password: secret_sauce</t>
  </si>
  <si>
    <t>1. Login page is shown.
2. Text is typed.
3. Error shown: "Epic sadface: Sorry, this user has been locked out."
4. Still on the login page (Username, Password, Login visible). URL does NOT contain /inventory.html. "Products" title is NOT shown.</t>
  </si>
  <si>
    <t>Yes - access-control rule with an exact error message.</t>
  </si>
  <si>
    <t>As expected - error "Epic sadface: Sorry, this user has been locked out." was shown and the user stayed on the login page.</t>
  </si>
  <si>
    <t>TC03</t>
  </si>
  <si>
    <t>Login with a wrong password</t>
  </si>
  <si>
    <t>1. Open https://www.saucedemo.com
2. Enter "standard_user" and "not_the_demo_password"
3. Click Login
4. Look at the page and the URL</t>
  </si>
  <si>
    <t>Username: standard_user
Password: not_the_demo_password</t>
  </si>
  <si>
    <t>1. Login page is shown.
2. Text is typed.
3. Error shown: "Epic sadface: Username and password do not match any user in this service"
4. Still on the login page. URL does NOT contain /inventory.html. "Products" title is NOT shown.</t>
  </si>
  <si>
    <t>Yes - access-control rule; cheap and stable.</t>
  </si>
  <si>
    <t>As expected - error "Epic sadface: Username and password do not match any user in this service" was shown and the user stayed on the login page.</t>
  </si>
  <si>
    <t>TC04</t>
  </si>
  <si>
    <t>Negative / Boundary</t>
  </si>
  <si>
    <t>Login with both fields empty</t>
  </si>
  <si>
    <t>1. Open https://www.saucedemo.com
2. Leave Username and Password empty
3. Click Login
4. Look at the page and the URL</t>
  </si>
  <si>
    <t>Username: (empty)
Password: (empty)</t>
  </si>
  <si>
    <t>1. Login page is shown.
2. Both fields are empty.
3. Error shown: "Epic sadface: Username is required"
4. Still on the login page. URL does NOT contain /inventory.html.</t>
  </si>
  <si>
    <t>P2</t>
  </si>
  <si>
    <t>Yes - required-field rule; fast and stable.</t>
  </si>
  <si>
    <t>As expected - error "Epic sadface: Username is required" was shown and the user stayed on the login page.</t>
  </si>
  <si>
    <t>TC05</t>
  </si>
  <si>
    <t>Sort by "Name (A to Z)"</t>
  </si>
  <si>
    <t>1. Open https://www.saucedemo.com
2. Enter "standard_user" in Username and "secret_sauce" in Password
3. Click Login
4. Write down every product name and price
5. In the sort dropdown, select "Name (Z to A)"
6. Select "Name (A to Z)"
7. Read every product name from top to bottom
8. Compare the list with the one you wrote down
9. Look at the sort dropdown</t>
  </si>
  <si>
    <t>User: standard_user
6 products (two cost $15.99)</t>
  </si>
  <si>
    <t>1. Login page shows the Username field, Password field and Login button.
2. Text is typed. Password shows as dots.
3. Products page opens. URL ends with /inventory.html. Title is "Products". Products are listed. No cart number on the cart icon.
4. 6 products are listed.
5. The list re-orders.
6. The list re-orders.
7. Every name comes before (or equals) the next one, A to Z.
8. Same 6 products with the same prices. Nothing missing, added or re-priced.
9. It shows "Name (A to Z)".</t>
  </si>
  <si>
    <t>Yes - checking every product in order is slow and error-prone by hand.</t>
  </si>
  <si>
    <t>As expected - all 6 names were in A to Z order, nothing was missing, and the dropdown showed "Name (A to Z)".</t>
  </si>
  <si>
    <t>TC06</t>
  </si>
  <si>
    <t>Sort by "Name (Z to A)"</t>
  </si>
  <si>
    <t>1. Open https://www.saucedemo.com
2. Enter "standard_user" in Username and "secret_sauce" in Password
3. Click Login
4. Write down every product name and price
5. In the sort dropdown, select "Name (A to Z)"
6. Select "Name (Z to A)"
7. Read every product name from top to bottom
8. Compare the list with the one you wrote down
9. Look at the sort dropdown</t>
  </si>
  <si>
    <t>1. Login page shows the Username field, Password field and Login button.
2. Text is typed. Password shows as dots.
3. Products page opens. URL ends with /inventory.html. Title is "Products". Products are listed. No cart number on the cart icon.
4. 6 products are listed.
5. The list re-orders.
6. The list re-orders.
7. Every name comes after (or equals) the next one, Z to A.
8. Same 6 products with the same prices. Nothing missing, added or re-priced.
9. It shows "Name (Z to A)".</t>
  </si>
  <si>
    <t>Yes - whole-list check, easy to repeat on every build.</t>
  </si>
  <si>
    <t>As expected - all 6 names were in Z to A order, nothing was missing, and the dropdown showed "Name (Z to A)".</t>
  </si>
  <si>
    <t>TC07</t>
  </si>
  <si>
    <t>Sort by "Price (low to high)"</t>
  </si>
  <si>
    <t>1. Open https://www.saucedemo.com
2. Enter "standard_user" in Username and "secret_sauce" in Password
3. Click Login
4. Write down every product name and price
5. In the sort dropdown, select "Price (high to low)"
6. Select "Price (low to high)"
7. Read every price from top to bottom
8. Compare the list with the one you wrote down
9. Look at the sort dropdown</t>
  </si>
  <si>
    <t>1. Login page shows the Username field, Password field and Login button.
2. Text is typed. Password shows as dots.
3. Products page opens. URL ends with /inventory.html. Title is "Products". Products are listed. No cart number on the cart icon.
4. 6 products are listed.
5. The list re-orders.
6. The list re-orders.
7. Every price is lower than or equal to the next: $7.99, $9.99, $15.99, $15.99, $29.99, $49.99 (the two $15.99 items can be in either order).
8. Same 6 products with the same prices. Nothing missing, added or re-priced.
9. It shows "Price (low to high)".</t>
  </si>
  <si>
    <t>Yes - whole-list check; this is the B3 regression.</t>
  </si>
  <si>
    <t>As expected - prices were $7.99, $9.99, $15.99, $15.99, $29.99, $49.99.</t>
  </si>
  <si>
    <t>TC08</t>
  </si>
  <si>
    <t>Sort by "Price (high to low)"</t>
  </si>
  <si>
    <t>1. Open https://www.saucedemo.com
2. Enter "standard_user" in Username and "secret_sauce" in Password
3. Click Login
4. Write down every product name and price
5. In the sort dropdown, select "Price (low to high)"
6. Select "Price (high to low)"
7. Read every price from top to bottom
8. Compare the list with the one you wrote down
9. Look at the sort dropdown</t>
  </si>
  <si>
    <t>1. Login page shows the Username field, Password field and Login button.
2. Text is typed. Password shows as dots.
3. Products page opens. URL ends with /inventory.html. Title is "Products". Products are listed. No cart number on the cart icon.
4. 6 products are listed.
5. The list re-orders.
6. The list re-orders.
7. Every price is higher than or equal to the next: $49.99, $29.99, $15.99, $15.99, $9.99, $7.99.
8. Same 6 products with the same prices. Nothing missing, added or re-priced.
9. It shows "Price (high to low)".</t>
  </si>
  <si>
    <t>As expected - prices were $49.99, $29.99, $15.99, $15.99, $9.99, $7.99.</t>
  </si>
  <si>
    <t>TC09</t>
  </si>
  <si>
    <t>Add two products and remove one from the Products page</t>
  </si>
  <si>
    <t>1. Open https://www.saucedemo.com
2. Enter "standard_user" in Username and "secret_sauce" in Password
3. Click Login
4. Note the prices of Sauce Labs Backpack and Sauce Labs Bike Light
5. Click "Add to cart" on Backpack, then on Bike Light
6. Look at the cart icon
7. On the Products page, click "Remove" on Backpack
8. Look at the cart icon
9. Click the cart icon
10. Check the items in the cart</t>
  </si>
  <si>
    <t>User: standard_user
Products: Sauce Labs Backpack ($29.99), Sauce Labs Bike Light ($9.99)</t>
  </si>
  <si>
    <t>1. Login page shows the Username field, Password field and Login button.
2. Text is typed. Password shows as dots.
3. Products page opens. URL ends with /inventory.html. Title is "Products". Products are listed. No cart number on the cart icon.
4. Backpack $29.99, Bike Light $9.99.
5. Both buttons change to "Remove".
6. Cart number shows 2.
7. Backpack button changes back to "Add to cart".
8. Cart number shows 1.
9. "Your Cart" page opens. URL ends with /cart.html.
10. Only Sauce Labs Bike Light is in the cart, price $9.99 (same as Products page).</t>
  </si>
  <si>
    <t>Yes - core cart rule (badge and contents).</t>
  </si>
  <si>
    <t>As expected - Only Sauce Labs Bike Light is in the cart, price $9.99 (same as Products page).</t>
  </si>
  <si>
    <t>TC10</t>
  </si>
  <si>
    <t>Remove products on the Cart page</t>
  </si>
  <si>
    <t>1. Open https://www.saucedemo.com
2. Enter "standard_user" in Username and "secret_sauce" in Password
3. Click Login
4. Click "Add to cart" on Bolt T-Shirt and on Onesie
5. Click the cart icon
6. Check the items in the cart
7. Click "Remove" on Bolt T-Shirt
8. Click "Remove" on Onesie</t>
  </si>
  <si>
    <t>User: standard_user
Products: Sauce Labs Bolt T-Shirt ($15.99), Sauce Labs Onesie ($7.99)</t>
  </si>
  <si>
    <t>1. Login page shows the Username field, Password field and Login button.
2. Text is typed. Password shows as dots.
3. Products page opens. URL ends with /inventory.html. Title is "Products". Products are listed. No cart number on the cart icon.
4. Both buttons change to "Remove".
5. "Your Cart" page opens.
6. Exactly 2 items: Bolt T-Shirt $15.99 and Onesie $7.99.
7. Bolt T-Shirt disappears. Cart number shows 1. Only Onesie $7.99 is left.
8. Onesie disappears. Cart number is gone. Cart list is empty.</t>
  </si>
  <si>
    <t>Yes - core cart rule.</t>
  </si>
  <si>
    <t>As expected - Onesie disappears. Cart number is gone. Cart list is empty.</t>
  </si>
  <si>
    <t>TC11</t>
  </si>
  <si>
    <t>New session starts with an empty cart</t>
  </si>
  <si>
    <t>1. Open https://www.saucedemo.com
2. Enter "standard_user" in Username and "secret_sauce" in Password
3. Click Login
4. Look at the cart icon and the product buttons
5. Click the cart icon
6. Click "Continue Shopping"</t>
  </si>
  <si>
    <t>User: standard_user</t>
  </si>
  <si>
    <t>1. Login page shows the Username field, Password field and Login button.
2. Text is typed. Password shows as dots.
3. Products page opens. URL ends with /inventory.html. Title is "Products". Products are listed. No cart number on the cart icon.
4. No cart number. No product shows a "Remove" button.
5. "Your Cart" page opens. The cart is empty.
6. Products page opens. No cart number.</t>
  </si>
  <si>
    <t>Yes - cheap check of the empty state.</t>
  </si>
  <si>
    <t>As expected - no cart number, the cart was empty, and "Continue Shopping" went back to Products.</t>
  </si>
  <si>
    <t>TC12</t>
  </si>
  <si>
    <t>Place an order with two products</t>
  </si>
  <si>
    <t>1. Open https://www.saucedemo.com
2. Enter "standard_user" in Username and "secret_sauce" in Password
3. Click Login
4. Note the prices, then click "Add to cart" on Backpack and Bolt T-Shirt
5. Click the cart icon
6. Click Checkout
7. Enter Test / Customer / 12345 and click Continue
8. Check the items on the Overview
9. Check Item total, Tax and Total
10. Click Finish
11. Click "Back Home"
12. Click the cart icon</t>
  </si>
  <si>
    <t>User: standard_user
Products: Sauce Labs Backpack ($29.99), Sauce Labs Bolt T-Shirt ($15.99)
First Name: Test, Last Name: Customer, Zip: 12345</t>
  </si>
  <si>
    <t>1. Login page shows the Username field, Password field and Login button.
2. Text is typed. Password shows as dots.
3. Products page opens. URL ends with /inventory.html. Title is "Products". Products are listed. No cart number on the cart icon.
4. Both buttons change to "Remove". Cart number shows 2.
5. "Your Cart" page shows exactly Backpack $29.99 and Bolt T-Shirt $15.99.
6. "Checkout: Your Information" page opens.
7. "Checkout: Overview" page opens. URL ends with /checkout-step-two.html.
8. Exactly Backpack $29.99 and Bolt T-Shirt $15.99.
9. Item total = $29.99 + $15.99 = $45.98. Total = Item total + Tax (to the cent).
10. "Checkout: Complete!" page opens. Message: "Thank you for your order!". No cart number.
11. Products page opens. No cart number. No product shows "Remove".
12. The cart is empty.</t>
  </si>
  <si>
    <t>Yes - main money journey; totals checked to the cent.</t>
  </si>
  <si>
    <t>As expected - Item total $45.98 and Total = Item total + Tax. "Thank you for your order!" was shown and the cart was empty afterwards.</t>
  </si>
  <si>
    <t>TC13</t>
  </si>
  <si>
    <t>Checkout without First Name</t>
  </si>
  <si>
    <t>1. Open https://www.saucedemo.com
2. Enter "standard_user" in Username and "secret_sauce" in Password
3. Click Login
4. Click "Add to cart" on Sauce Labs Onesie
5. Click the cart icon
6. Click Checkout
7. Leave First Name empty, enter "Customer" and "12345", click Continue
8. Look at the page</t>
  </si>
  <si>
    <t>User: standard_user
Product: Sauce Labs Onesie
First Name: (empty), Last Name: Customer, Zip: 12345</t>
  </si>
  <si>
    <t>1. Login page shows the Username field, Password field and Login button.
2. Text is typed. Password shows as dots.
3. Products page opens. URL ends with /inventory.html. Title is "Products". Products are listed. No cart number on the cart icon.
4. Button changes to "Remove".
5. "Your Cart" page opens. URL ends with /cart.html.
6. "Checkout: Your Information" page opens. URL ends with /checkout-step-one.html.
7. Error shown: "Error: First Name is required"
8. Still on "Checkout: Your Information" (URL ends with /checkout-step-one.html).</t>
  </si>
  <si>
    <t>Yes - one parameterized test with TC14 and TC15.</t>
  </si>
  <si>
    <t>As expected - error "Error: First Name is required" was shown and the user stayed on "Checkout: Your Information".</t>
  </si>
  <si>
    <t>TC14</t>
  </si>
  <si>
    <t>Checkout without Last Name</t>
  </si>
  <si>
    <t>1. Open https://www.saucedemo.com
2. Enter "standard_user" in Username and "secret_sauce" in Password
3. Click Login
4. Click "Add to cart" on Sauce Labs Onesie
5. Click the cart icon
6. Click Checkout
7. Enter "Test", leave Last Name empty, enter "12345", click Continue
8. Look at the page</t>
  </si>
  <si>
    <t>User: standard_user
Product: Sauce Labs Onesie
First Name: Test, Last Name: (empty), Zip: 12345</t>
  </si>
  <si>
    <t>1. Login page shows the Username field, Password field and Login button.
2. Text is typed. Password shows as dots.
3. Products page opens. URL ends with /inventory.html. Title is "Products". Products are listed. No cart number on the cart icon.
4. Button changes to "Remove".
5. "Your Cart" page opens. URL ends with /cart.html.
6. "Checkout: Your Information" page opens. URL ends with /checkout-step-one.html.
7. Error shown: "Error: Last Name is required"
8. Still on "Checkout: Your Information".</t>
  </si>
  <si>
    <t>Yes - one parameterized test with TC13 and TC15.</t>
  </si>
  <si>
    <t>As expected - error "Error: Last Name is required" was shown and the user stayed on "Checkout: Your Information".</t>
  </si>
  <si>
    <t>TC15</t>
  </si>
  <si>
    <t>Checkout without Zip/Postal Code</t>
  </si>
  <si>
    <t>1. Open https://www.saucedemo.com
2. Enter "standard_user" in Username and "secret_sauce" in Password
3. Click Login
4. Click "Add to cart" on Sauce Labs Onesie
5. Click the cart icon
6. Click Checkout
7. Enter "Test" and "Customer", leave Zip empty, click Continue
8. Look at the page</t>
  </si>
  <si>
    <t>User: standard_user
Product: Sauce Labs Onesie
First Name: Test, Last Name: Customer, Zip: (empty)</t>
  </si>
  <si>
    <t>1. Login page shows the Username field, Password field and Login button.
2. Text is typed. Password shows as dots.
3. Products page opens. URL ends with /inventory.html. Title is "Products". Products are listed. No cart number on the cart icon.
4. Button changes to "Remove".
5. "Your Cart" page opens. URL ends with /cart.html.
6. "Checkout: Your Information" page opens. URL ends with /checkout-step-one.html.
7. Error shown: "Error: Postal Code is required"
8. Still on "Checkout: Your Information".</t>
  </si>
  <si>
    <t>Yes - one parameterized test with TC13 and TC14.</t>
  </si>
  <si>
    <t>As expected - error "Error: Postal Code is required" was shown and the user stayed on "Checkout: Your Information".</t>
  </si>
  <si>
    <t>TC16</t>
  </si>
  <si>
    <t>Cancel on the "Your Information" page</t>
  </si>
  <si>
    <t>1. Open https://www.saucedemo.com
2. Enter "standard_user" in Username and "secret_sauce" in Password
3. Click Login
4. Click "Add to cart" on Sauce Labs Fleece Jacket
5. Click the cart icon
6. Click Checkout
7. Click Cancel
8. Check the cart</t>
  </si>
  <si>
    <t>User: standard_user
Product: Sauce Labs Fleece Jacket ($49.99)</t>
  </si>
  <si>
    <t>1. Login page shows the Username field, Password field and Login button.
2. Text is typed. Password shows as dots.
3. Products page opens. URL ends with /inventory.html. Title is "Products". Products are listed. No cart number on the cart icon.
4. Button changes to "Remove".
5. "Your Cart" page opens. URL ends with /cart.html.
6. "Checkout: Your Information" page opens. URL ends with /checkout-step-one.html.
7. "Your Cart" page opens.
8. Fleece Jacket $49.99 is still in the cart. Cart number shows 1. No order placed.</t>
  </si>
  <si>
    <t>Yes - cancel must never place an order.</t>
  </si>
  <si>
    <t>As expected - Fleece Jacket $49.99 is still in the cart. Cart number shows 1. No order placed.</t>
  </si>
  <si>
    <t>TC17</t>
  </si>
  <si>
    <t>Cancel on the "Overview" page</t>
  </si>
  <si>
    <t>1. Open https://www.saucedemo.com
2. Enter "standard_user" in Username and "secret_sauce" in Password
3. Click Login
4. Click "Add to cart" on Sauce Labs Backpack and Sauce Labs Onesie
5. Click the cart icon
6. Click Checkout
7. Enter Test / Customer / 12345, click Continue
8. Click Cancel
9. Look at the cart icon
10. Click the cart icon</t>
  </si>
  <si>
    <t>User: standard_user
Products: Sauce Labs Backpack ($29.99), Sauce Labs Onesie ($7.99)
First Name: Test, Last Name: Customer, Zip: 12345</t>
  </si>
  <si>
    <t>1. Login page shows the Username field, Password field and Login button.
2. Text is typed. Password shows as dots.
3. Products page opens. URL ends with /inventory.html. Title is "Products". Products are listed. No cart number on the cart icon.
4. Button changes to "Remove".
5. "Your Cart" page opens. URL ends with /cart.html.
6. "Checkout: Your Information" page opens. URL ends with /checkout-step-one.html.
7. "Checkout: Overview" page opens.
8. No "Thank you for your order!" message. URL is NOT /checkout-complete.html. Products page opens.
9. Cart number shows 2.
10. Backpack $29.99 and Onesie $7.99 are still in the cart.</t>
  </si>
  <si>
    <t>As expected - no order was placed. Products page opened with cart number 2, and Backpack and Onesie were still in the cart.</t>
  </si>
  <si>
    <t>TC18</t>
  </si>
  <si>
    <t>Positive / Boundary</t>
  </si>
  <si>
    <t>Order total for all six products</t>
  </si>
  <si>
    <t>1. Open https://www.saucedemo.com
2. Enter "standard_user" in Username and "secret_sauce" in Password
3. Click Login
4. Click "Add to cart" on all 6 products
5. Click the cart icon
6. Click Checkout, enter Test / Customer / 12345, click Continue
7. Check the items on the Overview
8. Check Item total, Tax and Total
9. Click Finish
10. Click "Back Home"</t>
  </si>
  <si>
    <t>User: standard_user
Products: all 6 - Backpack $29.99, Bike Light $9.99, Bolt T-Shirt $15.99, Fleece Jacket $49.99, Onesie $7.99, Test.allTheThings() T-Shirt (Red) $15.99
First Name: Test, Last Name: Customer, Zip: 12345</t>
  </si>
  <si>
    <t>1. Login page shows the Username field, Password field and Login button.
2. Text is typed. Password shows as dots.
3. Products page opens. URL ends with /inventory.html. Title is "Products". Products are listed. No cart number on the cart icon.
4. Buttons change to "Remove". Cart number shows 6.
5. "Your Cart" page shows exactly the added products at the Products page prices.
6. "Checkout: Overview" page opens.
7. Exactly the added products at the same prices.
8. Item total = $129.94 (sum of all 6 prices). Total = Item total + Tax (to the cent).
9. Message: "Thank you for your order!"
10. Products page opens. No cart number.</t>
  </si>
  <si>
    <t>Yes - largest basket; boundary for the total rule.</t>
  </si>
  <si>
    <t>As expected - Item total $129.94 and Total = Item total + Tax. Order completed, cart empty.</t>
  </si>
  <si>
    <t>TC19</t>
  </si>
  <si>
    <t>Double-click Finish</t>
  </si>
  <si>
    <t>1. Open https://www.saucedemo.com
2. Enter "standard_user" in Username and "secret_sauce" in Password
3. Click Login
4. Click "Add to cart" on Sauce Labs Onesie
5. Click the cart icon, then click Checkout
6. Enter First Name "Test", Last Name "Customer", Zip "12345" and click Continue
7. Double-click Finish very fast</t>
  </si>
  <si>
    <t>Sauce Labs Onesie</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</si>
  <si>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Only one "Thank you for your order!" page. No error.</t>
  </si>
  <si>
    <t>Yes - for what the user sees; the real order count needs an API or database check.</t>
  </si>
  <si>
    <t>As expected - Only one "Thank you for your order!" page. No error.</t>
  </si>
  <si>
    <t>Only one order should be created - needs backend/order list to fully confirm.</t>
  </si>
  <si>
    <t>TC20</t>
  </si>
  <si>
    <t>Usability</t>
  </si>
  <si>
    <t>Typed values stay after an error</t>
  </si>
  <si>
    <t>1. Open https://www.saucedemo.com
2. Enter "standard_user" in Username and "secret_sauce" in Password
3. Click Login
4. Click "Add to cart" on Sauce Labs Onesie
5. Click the cart icon, then click Checkout
6. Enter Test and Customer, leave Zip empty, click Continue
7. Look at First Name and Last Name</t>
  </si>
  <si>
    <t>First Name: Test, Last Name: Customer, Zip: empty</t>
  </si>
  <si>
    <t>1. Login page shows the Username field, Password field and Login button.
2. Text is typed. Password shows as dots.
3. Products page opens. URL ends with /inventory.html. Title is "Products".
4. Button changes to "Remove".
5. "Checkout: Your Information" page opens.
6. Error: "Error: Postal Code is required".
7. They still show "Test" and "Customer".</t>
  </si>
  <si>
    <t>P3</t>
  </si>
  <si>
    <t>Yes - stable usability check.</t>
  </si>
  <si>
    <t>As expected - They still show "Test" and "Customer".</t>
  </si>
  <si>
    <t>TC21</t>
  </si>
  <si>
    <t>Security</t>
  </si>
  <si>
    <t>Products page cannot be opened after logout</t>
  </si>
  <si>
    <t>1. Open https://www.saucedemo.com
2. Enter "standard_user" in Username and "secret_sauce" in Password
3. Click Login
4. Click the menu button (☰), then click Logout
5. Type https://www.saucedemo.com/inventory.html in the address bar and press Enter
6. Look at the page</t>
  </si>
  <si>
    <t>User: standard_user
URL: https://www.saucedemo.com/inventory.html</t>
  </si>
  <si>
    <t>1. Login page shows the Username field, Password field and Login button.
2. Text is typed. Password shows as dots.
3. Products page opens. URL ends with /inventory.html. Title is "Products". Products are listed. No cart number on the cart icon.
4. Login page is shown.
5. Error shown: "Epic sadface: You can only access '/inventory.html' when you are logged in."
6. Login page is shown. "Products" title is NOT shown. No products are listed.</t>
  </si>
  <si>
    <t>Yes - security rule from the brief (open a page by URL after logout).</t>
  </si>
  <si>
    <t>As expected - error "Epic sadface: You can only access '/inventory.html' when you are logged in." was shown on the login page; no products were shown.</t>
  </si>
  <si>
    <t>TC22</t>
  </si>
  <si>
    <t>Open /cart.html without logging in</t>
  </si>
  <si>
    <t>Use a NEW private / incognito browser window (so the cart is empty and no one is logged in). Do NOT log in.</t>
  </si>
  <si>
    <t>1. Check you are not logged in (new private window)
2. Type https://www.saucedemo.com/cart.html in the address bar and press Enter
3. Look at the page</t>
  </si>
  <si>
    <t>URL: https://www.saucedemo.com/cart.html</t>
  </si>
  <si>
    <t>1. No Sauce Demo session is open.
2. Error shown: "Epic sadface: You can only access '/cart.html' when you are logged in."
3. Login page is shown (Username, Password, Login). Cart icon is NOT visible.</t>
  </si>
  <si>
    <t>Yes - security rule; fast and stable.</t>
  </si>
  <si>
    <t>As expected - the login page showed "Epic sadface: You can only access '/cart.html' when you are logged in." and the cart icon was not visible.</t>
  </si>
  <si>
    <t>TC23</t>
  </si>
  <si>
    <t>Log in and add a product using only the keyboard</t>
  </si>
  <si>
    <t>1. Open https://www.saucedemo.com
2. Press Tab
3. Type "standard_user" and press Tab
4. Type "secret_sauce" and press Enter
5. Move focus to "Add to cart" on Sauce Labs Backpack and press Enter</t>
  </si>
  <si>
    <t>standard_user / secret_sauce (no mouse)</t>
  </si>
  <si>
    <t>1. Login page is shown.
2. The cursor is in the Username field.
3. The cursor moves to the Password field.
4. Products page opens.
5. Button changes to "Remove". Cart number shows 1.</t>
  </si>
  <si>
    <t>Yes - automated as AC03; screen-reader use stays manual.</t>
  </si>
  <si>
    <t>As expected - login and add to cart worked with the keyboard only.</t>
  </si>
  <si>
    <t>Full accessibility suite (AC01-AC15, WCAG 2.2 A/AA) is listed in README.md. Screen-reader use still needs a manual check.</t>
  </si>
  <si>
    <t>TC24</t>
  </si>
  <si>
    <t>Compatibility</t>
  </si>
  <si>
    <t>Products page works on a mobile and a desktop screen</t>
  </si>
  <si>
    <t>1. Set the browser window to 375 x 667 and log in as standard_user
2. Click "Add to cart" on Sauce Labs Backpack
3. Repeat steps 1-2 at 1366 x 768</t>
  </si>
  <si>
    <t>Mobile 375 x 667, desktop 1366 x 768</t>
  </si>
  <si>
    <t>1. No sideways scrolling. Menu button, cart icon and sort dropdown are visible.
2. Cart number shows 1. Still no sideways scrolling.
3. Same result on the desktop size.</t>
  </si>
  <si>
    <t>Yes - automated as AC14 (window sizes); real phones stay manual.</t>
  </si>
  <si>
    <t>As expected - no sideways scrolling and every control worked at both sizes.</t>
  </si>
  <si>
    <t>Window-size check in desktop browsers; real phones still need a manual check.</t>
  </si>
  <si>
    <t>TC25</t>
  </si>
  <si>
    <t>Sort by "Price (low to high)" as problem_user</t>
  </si>
  <si>
    <t>1. Open https://www.saucedemo.com
2. Enter "problem_user" in Username and "secret_sauce" in Password
3. Click Login
4. Select "Price (low to high)" in the sort dropdown
5. Read every price from top to bottom</t>
  </si>
  <si>
    <t>User: problem_user
Password: secret_sauce</t>
  </si>
  <si>
    <t>1. Login page shows the Username field, Password field and Login button.
2. Text is typed. Password shows as dots.
3. Products page opens. URL ends with /inventory.html. Title is "Products". Products are listed. No cart number on the cart icon.
4. The list re-orders.
5. Every price is lower than or equal to the next.</t>
  </si>
  <si>
    <t>Yes - known bug; the test will show when it is fixed.</t>
  </si>
  <si>
    <t>Prices stayed in the same order: $29.99, $9.99, $15.99, $49.99, $7.99, $15.99. Sorting did not work.</t>
  </si>
  <si>
    <t>BUG-01</t>
  </si>
  <si>
    <t>Extended Test Cases - extra regression (73 cases)</t>
  </si>
  <si>
    <t>Extra functional cases written beyond the brief. Same format; IDs continue from the core suite.</t>
  </si>
  <si>
    <t>TC26</t>
  </si>
  <si>
    <t>Login with the slow user (performance_glitch_user)</t>
  </si>
  <si>
    <t>1. Open https://www.saucedemo.com
2. Enter "performance_glitch_user" and "secret_sauce"
3. Click Login and wait (up to 15 seconds)</t>
  </si>
  <si>
    <t>Username: performance_glitch_user
Password: secret_sauce</t>
  </si>
  <si>
    <t>1. Login page is shown.
2. Text is typed.
3. Products page opens. URL ends with /inventory.html. Title is "Products". Products are listed.</t>
  </si>
  <si>
    <t>Yes - extended regression; stable login variation.</t>
  </si>
  <si>
    <t>As expected - Products page opens. URL ends with /inventory.html. Title is "Products". Products are listed.</t>
  </si>
  <si>
    <t>TC27</t>
  </si>
  <si>
    <t>Login using the Enter key</t>
  </si>
  <si>
    <t>1. Open https://www.saucedemo.com
2. Enter "standard_user" and "secret_sauce"
3. Press Enter while the cursor is in the Password field (do not click Login)</t>
  </si>
  <si>
    <t>standard_user / secret_sauce</t>
  </si>
  <si>
    <t>1. Login page shows the Username field, Password field and Login button.
2. Text is typed.
3. Products page opens. URL ends with /inventory.html.</t>
  </si>
  <si>
    <t>As expected - Products page opens. URL ends with /inventory.html.</t>
  </si>
  <si>
    <t>TC28</t>
  </si>
  <si>
    <t>Close the login error message</t>
  </si>
  <si>
    <t>1. Open https://www.saucedemo.com
2. Click Login with both fields empty
3. Click the X button on the error</t>
  </si>
  <si>
    <t>Both fields empty</t>
  </si>
  <si>
    <t>1. Login page shows the Username field, Password field and Login button.
2. Error: "Epic sadface: Username is required" with an X button.
3. Error message disappears.</t>
  </si>
  <si>
    <t>As expected - Error message disappears.</t>
  </si>
  <si>
    <t>BUG-05</t>
  </si>
  <si>
    <t>Seen on 27-Oct-2026: the fields may keep a red style after closing (BUG-05). Check and note.</t>
  </si>
  <si>
    <t>TC29</t>
  </si>
  <si>
    <t>Login as problem_user</t>
  </si>
  <si>
    <t>1. Open https://www.saucedemo.com
2. Enter "problem_user" in Username and "secret_sauce" in Password
3. Click Login</t>
  </si>
  <si>
    <t>problem_user / secret_sauce</t>
  </si>
  <si>
    <t>1. Login page shows the Username field, Password field and Login button.
2. Text is typed. Password shows as dots.
3. Products page opens. URL ends with /inventory.html. Title is "Products".</t>
  </si>
  <si>
    <t>As expected - Products page opens. URL ends with /inventory.html. Title is "Products".</t>
  </si>
  <si>
    <t>TC30</t>
  </si>
  <si>
    <t>Login as error_user</t>
  </si>
  <si>
    <t>1. Open https://www.saucedemo.com
2. Enter "error_user" in Username and "secret_sauce" in Password
3. Click Login</t>
  </si>
  <si>
    <t>error_user / secret_sauce</t>
  </si>
  <si>
    <t>TC31</t>
  </si>
  <si>
    <t>Login as visual_user</t>
  </si>
  <si>
    <t>1. Open https://www.saucedemo.com
2. Enter "visual_user" in Username and "secret_sauce" in Password
3. Click Login</t>
  </si>
  <si>
    <t>visual_user / secret_sauce</t>
  </si>
  <si>
    <t>TC32</t>
  </si>
  <si>
    <t>Login page content</t>
  </si>
  <si>
    <t>1. Open https://www.saucedemo.com
2. Look at the Username and Password fields
3. Look below the form</t>
  </si>
  <si>
    <t>-</t>
  </si>
  <si>
    <t>1. Login page shows the Username field, Password field and Login button.
2. Placeholders say "Username" and "Password".
3. Accepted usernames are listed: standard_user, locked_out_user, problem_user, performance_glitch_user, error_user, visual_user. Text "Password for all users: secret_sauce" is shown.</t>
  </si>
  <si>
    <t>As expected - Accepted usernames are listed: standard_user, locked_out_user, problem_user, performance_glitch_user, error_user, visual_user. Text "Password for all users: secret_sauce" is shown.</t>
  </si>
  <si>
    <t>TC33</t>
  </si>
  <si>
    <t>Login with a username that does not exist</t>
  </si>
  <si>
    <t>1. Open https://www.saucedemo.com
2. Enter "unknown_user" and "secret_sauce"
3. Click Login
4. Look at the page and the URL</t>
  </si>
  <si>
    <t>Username: unknown_user
Password: secret_sauce</t>
  </si>
  <si>
    <t>1. Login page is shown.
2. Text is typed.
3. Error shown: "Epic sadface: Username and password do not match any user in this service" (same message as wrong password).
4. Still on the login page. URL does NOT contain /inventory.html. "Products" title is NOT shown.</t>
  </si>
  <si>
    <t>As expected - the same error "Epic sadface: Username and password do not match any user in this service" was shown and the user stayed on the login page.</t>
  </si>
  <si>
    <t>TC34</t>
  </si>
  <si>
    <t>Login with username empty</t>
  </si>
  <si>
    <t>1. Open https://www.saucedemo.com
2. Leave Username empty, enter "any" in Password
3. Click Login
4. Look at the page and the URL</t>
  </si>
  <si>
    <t>Username: (empty)
Password: any</t>
  </si>
  <si>
    <t>1. Login page is shown.
2. Only Password has text.
3. Error shown: "Epic sadface: Username is required"
4. Still on the login page. URL does NOT contain /inventory.html.</t>
  </si>
  <si>
    <t>TC35</t>
  </si>
  <si>
    <t>Login with password empty</t>
  </si>
  <si>
    <t>1. Open https://www.saucedemo.com
2. Enter "any" in Username, leave Password empty
3. Click Login
4. Look at the page and the URL</t>
  </si>
  <si>
    <t>Username: any
Password: (empty)</t>
  </si>
  <si>
    <t>1. Login page is shown.
2. Only Username has text.
3. Error shown: "Epic sadface: Password is required"
4. Still on the login page. URL does NOT contain /inventory.html.</t>
  </si>
  <si>
    <t>As expected - error "Epic sadface: Password is required" was shown and the user stayed on the login page.</t>
  </si>
  <si>
    <t>TC36</t>
  </si>
  <si>
    <t>Username is case-sensitive</t>
  </si>
  <si>
    <t>1. Open https://www.saucedemo.com
2. Enter "STANDARD_USER" (capital letters) and "secret_sauce", click Login</t>
  </si>
  <si>
    <t>STANDARD_USER / secret_sauce</t>
  </si>
  <si>
    <t>1. Login page shows the Username field, Password field and Login button.
2. Error: "Epic sadface: Username and password do not match any user in this service". Not logged in.</t>
  </si>
  <si>
    <t>As expected - Error: "Epic sadface: Username and password do not match any user in this service". Not logged in.</t>
  </si>
  <si>
    <t>ASSUMPTION: usernames are case-sensitive (confirm with product owner). Seen on 27-Oct-2026: rejected.</t>
  </si>
  <si>
    <t>TC37</t>
  </si>
  <si>
    <t>Username with spaces before and after</t>
  </si>
  <si>
    <t>1. Open https://www.saucedemo.com
2. Enter " standard_user " (one space before and after) and "secret_sauce", click Login</t>
  </si>
  <si>
    <t>" standard_user " / secret_sauce</t>
  </si>
  <si>
    <t>ASSUMPTION: spaces are not removed (confirm with product owner). Seen on 27-Oct-2026: rejected.</t>
  </si>
  <si>
    <t>TC38</t>
  </si>
  <si>
    <t>Password is case-sensitive</t>
  </si>
  <si>
    <t>1. Open https://www.saucedemo.com
2. Enter "standard_user" and "SECRET_SAUCE" (capital letters), click Login</t>
  </si>
  <si>
    <t>standard_user / SECRET_SAUCE</t>
  </si>
  <si>
    <t>TC39</t>
  </si>
  <si>
    <t>Script text in username is treated as plain text</t>
  </si>
  <si>
    <t>1. Open https://www.saucedemo.com
2. Enter &lt;script&gt;alert(1)&lt;/script&gt; in Username and "secret_sauce" in Password, click Login</t>
  </si>
  <si>
    <t>Username: &lt;script&gt;alert(1)&lt;/script&gt;
Password: secret_sauce</t>
  </si>
  <si>
    <t>1. Login page shows the Username field, Password field and Login button.
2. No pop-up appears. Error: "Epic sadface: Username and password do not match any user in this service".</t>
  </si>
  <si>
    <t>As expected - No pop-up appears. Error: "Epic sadface: Username and password do not match any user in this service".</t>
  </si>
  <si>
    <t>Safe check only. No real attack is done.</t>
  </si>
  <si>
    <t>TC40</t>
  </si>
  <si>
    <t>Boundary</t>
  </si>
  <si>
    <t>Very long username and password</t>
  </si>
  <si>
    <t>1. Open https://www.saucedemo.com
2. Paste 1000 letters "a" into Username and into Password
3. Click Login</t>
  </si>
  <si>
    <t>1000 x "a" in both fields</t>
  </si>
  <si>
    <t>1. Login page shows the Username field, Password field and Login button.
2. Text is accepted; page does not freeze.
3. Error: "Epic sadface: Username and password do not match any user in this service". Page layout is not broken.</t>
  </si>
  <si>
    <t>As expected - Error: "Epic sadface: Username and password do not match any user in this service". Page layout is not broken.</t>
  </si>
  <si>
    <t>TC41</t>
  </si>
  <si>
    <t>Every product shows full details</t>
  </si>
  <si>
    <t>1. Open https://www.saucedemo.com
2. Enter "standard_user" in Username and "secret_sauce" in Password
3. Click Login
4. Look at each product card</t>
  </si>
  <si>
    <t>standard_user</t>
  </si>
  <si>
    <t>1. Login page shows the Username field, Password field and Login button.
2. Text is typed. Password shows as dots.
3. Products page opens. URL ends with /inventory.html. Title is "Products".
4. 6 products. Each card has an image, name, description, price and "Add to cart" button.</t>
  </si>
  <si>
    <t>Yes - extended regression; stable page check.</t>
  </si>
  <si>
    <t>As expected - 6 products. Each card has an image, name, description, price and "Add to cart" button.</t>
  </si>
  <si>
    <t>TC42</t>
  </si>
  <si>
    <t>Product prices format</t>
  </si>
  <si>
    <t>1. Open https://www.saucedemo.com
2. Enter "standard_user" in Username and "secret_sauce" in Password
3. Click Login
4. Read every price</t>
  </si>
  <si>
    <t>1. Login page shows the Username field, Password field and Login button.
2. Text is typed. Password shows as dots.
3. Products page opens. URL ends with /inventory.html. Title is "Products".
4. Every price starts with $ and has 2 decimals: $29.99, $9.99, $15.99, $49.99, $7.99, $15.99.</t>
  </si>
  <si>
    <t>As expected - Every price starts with $ and has 2 decimals: $29.99, $9.99, $15.99, $49.99, $7.99, $15.99.</t>
  </si>
  <si>
    <t>TC43</t>
  </si>
  <si>
    <t>Product name opens the product detail page</t>
  </si>
  <si>
    <t>1. Open https://www.saucedemo.com
2. Enter "standard_user" in Username and "secret_sauce" in Password
3. Click Login
4. Click the name "Sauce Labs Backpack"
5. Check the details</t>
  </si>
  <si>
    <t>Sauce Labs Backpack</t>
  </si>
  <si>
    <t>1. Login page shows the Username field, Password field and Login button.
2. Text is typed. Password shows as dots.
3. Products page opens. URL ends with /inventory.html. Title is "Products".
4. Product page opens. URL contains /inventory-item.html?id=4.
5. Name "Sauce Labs Backpack", price $29.99 and the same description as the Products page. "Back to products" button is shown.</t>
  </si>
  <si>
    <t>As expected - Name "Sauce Labs Backpack", price $29.99 and the same description as the Products page. "Back to products" button is shown.</t>
  </si>
  <si>
    <t>TC44</t>
  </si>
  <si>
    <t>Product image opens the product detail page</t>
  </si>
  <si>
    <t>1. Open https://www.saucedemo.com
2. Enter "standard_user" in Username and "secret_sauce" in Password
3. Click Login
4. Click the image of "Sauce Labs Bike Light"</t>
  </si>
  <si>
    <t>Sauce Labs Bike Light</t>
  </si>
  <si>
    <t>1. Login page shows the Username field, Password field and Login button.
2. Text is typed. Password shows as dots.
3. Products page opens. URL ends with /inventory.html. Title is "Products".
4. Product page for Sauce Labs Bike Light opens, price $9.99.</t>
  </si>
  <si>
    <t>As expected - Product page for Sauce Labs Bike Light opens, price $9.99.</t>
  </si>
  <si>
    <t>TC45</t>
  </si>
  <si>
    <t>Default sort after login</t>
  </si>
  <si>
    <t>1. Open https://www.saucedemo.com
2. Enter "standard_user" in Username and "secret_sauce" in Password
3. Click Login
4. Look at the sort dropdown and the list</t>
  </si>
  <si>
    <t>1. Login page shows the Username field, Password field and Login button.
2. Text is typed. Password shows as dots.
3. Products page opens. URL ends with /inventory.html. Title is "Products".
4. Dropdown shows "Name (A to Z)". Names are in A to Z order.</t>
  </si>
  <si>
    <t>As expected - Dropdown shows "Name (A to Z)". Names are in A to Z order.</t>
  </si>
  <si>
    <t>TC46</t>
  </si>
  <si>
    <t>Footer social links</t>
  </si>
  <si>
    <t>1. Open https://www.saucedemo.com
2. Enter "standard_user" in Username and "secret_sauce" in Password
3. Click Login
4. Scroll to the footer
5. Click each icon</t>
  </si>
  <si>
    <t>X, Facebook, LinkedIn</t>
  </si>
  <si>
    <t>1. Login page shows the Username field, Password field and Login button.
2. Text is typed. Password shows as dots.
3. Products page opens. URL ends with /inventory.html. Title is "Products".
4. X, Facebook and LinkedIn icons are shown.
5. Each opens in a new tab: x.com/saucelabs, facebook.com/saucelabs, linkedin.com/company/sauce-labs.</t>
  </si>
  <si>
    <t>As expected - the X, Facebook and LinkedIn links point to the Sauce Labs pages and are set to open in a new tab. The external sites were not opened.</t>
  </si>
  <si>
    <t>Do not test the external sites, only that the right page opens.</t>
  </si>
  <si>
    <t>TC47</t>
  </si>
  <si>
    <t>Added products keep "Remove" after sorting</t>
  </si>
  <si>
    <t>1. Open https://www.saucedemo.com
2. Enter "standard_user" in Username and "secret_sauce" in Password
3. Click Login
4. Click "Add to cart" on Backpack and on Onesie
5. Select "Price (high to low)"
6. Find Backpack and Onesie in the new order</t>
  </si>
  <si>
    <t>Sauce Labs Backpack, Sauce Labs Onesie</t>
  </si>
  <si>
    <t>1. Login page shows the Username field, Password field and Login button.
2. Text is typed. Password shows as dots.
3. Products page opens. URL ends with /inventory.html. Title is "Products".
4. Both buttons change to "Remove". Cart number shows 2.
5. List re-orders.
6. Both still show "Remove". All other products show "Add to cart". Cart number still 2.</t>
  </si>
  <si>
    <t>Yes - extended regression; whole-list check.</t>
  </si>
  <si>
    <t>As expected - Both still show "Remove". All other products show "Add to cart". Cart number still 2.</t>
  </si>
  <si>
    <t>TC48</t>
  </si>
  <si>
    <t>Change sort many times</t>
  </si>
  <si>
    <t>1. Open https://www.saucedemo.com
2. Enter "standard_user" in Username and "secret_sauce" in Password
3. Click Login
4. Select Name (Z to A), then Price (low to high), then Price (high to low), then Name (A to Z)
5. After each selection, read the full list</t>
  </si>
  <si>
    <t>All 4 sort options</t>
  </si>
  <si>
    <t>1. Login page shows the Username field, Password field and Login button.
2. Text is typed. Password shows as dots.
3. Products page opens. URL ends with /inventory.html. Title is "Products".
4. List re-orders each time.
5. Each time the whole list is in the chosen order. Always 6 products.</t>
  </si>
  <si>
    <t>As expected - Each time the whole list is in the chosen order. Always 6 products.</t>
  </si>
  <si>
    <t>TC49</t>
  </si>
  <si>
    <t>Add to cart from the product page</t>
  </si>
  <si>
    <t>1. Open https://www.saucedemo.com
2. Enter "standard_user" in Username and "secret_sauce" in Password
3. Click Login
4. Click the name "Sauce Labs Backpack"
5. Click "Add to cart"</t>
  </si>
  <si>
    <t>1. Login page shows the Username field, Password field and Login button.
2. Text is typed. Password shows as dots.
3. Products page opens. URL ends with /inventory.html. Title is "Products".
4. Product page opens.
5. Button changes to "Remove". Cart number shows 1.</t>
  </si>
  <si>
    <t>As expected - Button changes to "Remove". Cart number shows 1.</t>
  </si>
  <si>
    <t>TC50</t>
  </si>
  <si>
    <t>Remove from the product page</t>
  </si>
  <si>
    <t>1. Open https://www.saucedemo.com
2. Enter "standard_user" in Username and "secret_sauce" in Password
3. Click Login
4. Open "Sauce Labs Backpack" and click "Add to cart"
5. Click "Remove"</t>
  </si>
  <si>
    <t>1. Login page shows the Username field, Password field and Login button.
2. Text is typed. Password shows as dots.
3. Products page opens. URL ends with /inventory.html. Title is "Products".
4. Cart number shows 1.
5. Button changes to "Add to cart". Cart number is gone.</t>
  </si>
  <si>
    <t>As expected - Button changes to "Add to cart". Cart number is gone.</t>
  </si>
  <si>
    <t>TC51</t>
  </si>
  <si>
    <t>"Back to products" keeps the cart</t>
  </si>
  <si>
    <t>1. Open https://www.saucedemo.com
2. Enter "standard_user" in Username and "secret_sauce" in Password
3. Click Login
4. Open "Sauce Labs Backpack" and click "Add to cart"
5. Click "Back to products"</t>
  </si>
  <si>
    <t>1. Login page shows the Username field, Password field and Login button.
2. Text is typed. Password shows as dots.
3. Products page opens. URL ends with /inventory.html. Title is "Products".
4. Cart number shows 1.
5. Products page opens. Cart number still 1. Backpack shows "Remove".</t>
  </si>
  <si>
    <t>As expected - Products page opens. Cart number still 1. Backpack shows "Remove".</t>
  </si>
  <si>
    <t>TC52</t>
  </si>
  <si>
    <t>Unknown product id</t>
  </si>
  <si>
    <t>1. Open https://www.saucedemo.com
2. Enter "standard_user" in Username and "secret_sauce" in Password
3. Click Login
4. Type https://www.saucedemo.com/inventory-item.html?id=99 in the address bar
5. Click "Back to products"</t>
  </si>
  <si>
    <t>https://www.saucedemo.com/inventory-item.html?id=99</t>
  </si>
  <si>
    <t>1. Login page shows the Username field, Password field and Login button.
2. Text is typed. Password shows as dots.
3. Products page opens. URL ends with /inventory.html. Title is "Products".
4. Page shows "ITEM NOT FOUND". No crash.
5. Products page opens.</t>
  </si>
  <si>
    <t>As expected - "ITEM NOT FOUND" was shown and "Back to products" opened the Products page.</t>
  </si>
  <si>
    <t>TC53</t>
  </si>
  <si>
    <t>Product id is not a number</t>
  </si>
  <si>
    <t>1. Open https://www.saucedemo.com
2. Enter "standard_user" in Username and "secret_sauce" in Password
3. Click Login
4. Type https://www.saucedemo.com/inventory-item.html?id=abc in the address bar
5. Click "Back to products"</t>
  </si>
  <si>
    <t>https://www.saucedemo.com/inventory-item.html?id=abc</t>
  </si>
  <si>
    <t>1. Login page shows the Username field, Password field and Login button.
2. Text is typed. Password shows as dots.
3. Products page opens. URL ends with /inventory.html. Title is "Products".
4. Page shows "ITEM NOT FOUND". No crash, no blank page.
5. Products page opens.</t>
  </si>
  <si>
    <t>TC54</t>
  </si>
  <si>
    <t>Cart item details</t>
  </si>
  <si>
    <t>1. Open https://www.saucedemo.com
2. Enter "standard_user" in Username and "secret_sauce" in Password
3. Click Login
4. Add "Sauce Labs Bolt T-Shirt", open the cart
5. Look at the cart line</t>
  </si>
  <si>
    <t>Sauce Labs Bolt T-Shirt</t>
  </si>
  <si>
    <t>1. Login page shows the Username field, Password field and Login button.
2. Text is typed. Password shows as dots.
3. Products page opens. URL ends with /inventory.html. Title is "Products".
4. "Your Cart" page opens.
5. QTY 1, name "Sauce Labs Bolt T-Shirt", description, price $15.99, "Remove" button.</t>
  </si>
  <si>
    <t>Yes - extended regression; cart state check.</t>
  </si>
  <si>
    <t>As expected - QTY 1, name "Sauce Labs Bolt T-Shirt", description, price $15.99, "Remove" button.</t>
  </si>
  <si>
    <t>TC55</t>
  </si>
  <si>
    <t>Cart stays the same when moving between pages</t>
  </si>
  <si>
    <t>1. Open https://www.saucedemo.com
2. Enter "standard_user" in Username and "secret_sauce" in Password
3. Click Login
4. Add Backpack and Bike Light
5. Open Backpack product page, go back, open the cart, click Continue Shopping</t>
  </si>
  <si>
    <t>2 products</t>
  </si>
  <si>
    <t>1. Login page shows the Username field, Password field and Login button.
2. Text is typed. Password shows as dots.
3. Products page opens. URL ends with /inventory.html. Title is "Products".
4. Cart number shows 2.
5. Cart number is 2 on every page. Cart lists Backpack and Bike Light.</t>
  </si>
  <si>
    <t>As expected - Cart number is 2 on every page. Cart lists Backpack and Bike Light.</t>
  </si>
  <si>
    <t>TC56</t>
  </si>
  <si>
    <t>Cart stays after page refresh</t>
  </si>
  <si>
    <t>1. Open https://www.saucedemo.com
2. Enter "standard_user" in Username and "secret_sauce" in Password
3. Click Login
4. Add Backpack and Bike Light
5. Press F5 on the Products page
6. Open the cart and press F5</t>
  </si>
  <si>
    <t>1. Login page shows the Username field, Password field and Login button.
2. Text is typed. Password shows as dots.
3. Products page opens. URL ends with /inventory.html. Title is "Products".
4. Cart number shows 2.
5. Cart number still 2. Both still show "Remove".
6. Both items are still in the cart.</t>
  </si>
  <si>
    <t>As expected - Both items are still in the cart.</t>
  </si>
  <si>
    <t>TC57</t>
  </si>
  <si>
    <t>"Continue Shopping" with items keeps the cart</t>
  </si>
  <si>
    <t>1. Open https://www.saucedemo.com
2. Enter "standard_user" in Username and "secret_sauce" in Password
3. Click Login
4. Add Onesie and open the cart
5. Click "Continue Shopping"</t>
  </si>
  <si>
    <t>1. Login page shows the Username field, Password field and Login button.
2. Text is typed. Password shows as dots.
3. Products page opens. URL ends with /inventory.html. Title is "Products".
4. Onesie is in the cart.
5. Products page opens. Cart number shows 1. Onesie shows "Remove".</t>
  </si>
  <si>
    <t>As expected - Products page opens. Cart number shows 1. Onesie shows "Remove".</t>
  </si>
  <si>
    <t>TC58</t>
  </si>
  <si>
    <t>Item name in the cart opens the product page</t>
  </si>
  <si>
    <t>1. Open https://www.saucedemo.com
2. Enter "standard_user" in Username and "secret_sauce" in Password
3. Click Login
4. Add Onesie and open the cart
5. Click the name "Sauce Labs Onesie"</t>
  </si>
  <si>
    <t>1. Login page shows the Username field, Password field and Login button.
2. Text is typed. Password shows as dots.
3. Products page opens. URL ends with /inventory.html. Title is "Products".
4. Onesie is in the cart.
5. Product page for Sauce Labs Onesie opens, price $7.99.</t>
  </si>
  <si>
    <t>As expected - Product page for Sauce Labs Onesie opens, price $7.99.</t>
  </si>
  <si>
    <t>TC59</t>
  </si>
  <si>
    <t>Cart after logout and login again (same user)</t>
  </si>
  <si>
    <t>1. Open https://www.saucedemo.com
2. Enter "standard_user" in Username and "secret_sauce" in Password
3. Click Login
4. Add Backpack and Bike Light
5. Menu &gt; Logout, then log in again as standard_user
6. Look at the cart number and open the cart</t>
  </si>
  <si>
    <t>standard_user, 2 products</t>
  </si>
  <si>
    <t>1. Login page shows the Username field, Password field and Login button.
2. Text is typed. Password shows as dots.
3. Products page opens. URL ends with /inventory.html. Title is "Products".
4. Cart number shows 2.
5. Products page opens.
6. Cart still has Backpack and Bike Light (cart number 2).</t>
  </si>
  <si>
    <t>As expected - Cart still has Backpack and Bike Light (cart number 2).</t>
  </si>
  <si>
    <t>ASSUMPTION: the cart is kept after logout (confirm with product owner). Note what you see.</t>
  </si>
  <si>
    <t>TC60</t>
  </si>
  <si>
    <t>One user cannot see another user's cart</t>
  </si>
  <si>
    <t>1. Open https://www.saucedemo.com
2. Enter "standard_user" in Username and "secret_sauce" in Password
3. Click Login
4. Add Backpack and Bike Light
5. Menu &gt; Logout, then log in as problem_user
6. Look at the cart number and open the cart</t>
  </si>
  <si>
    <t>standard_user, then problem_user</t>
  </si>
  <si>
    <t>1. Login page shows the Username field, Password field and Login button.
2. Text is typed. Password shows as dots.
3. Products page opens. URL ends with /inventory.html. Title is "Products".
4. Cart number shows 2.
5. Products page opens.
6. Cart is empty. No cart number.</t>
  </si>
  <si>
    <t>problem_user saw standard_user's cart: the cart number showed 2 instead of an empty cart.</t>
  </si>
  <si>
    <t>BUG-06</t>
  </si>
  <si>
    <t>ASSUMPTION: each user has their own cart (privacy; confirm with product owner). Note what you see.</t>
  </si>
  <si>
    <t>TC61</t>
  </si>
  <si>
    <t>Add all 6 products</t>
  </si>
  <si>
    <t>1. Open https://www.saucedemo.com
2. Enter "standard_user" in Username and "secret_sauce" in Password
3. Click Login
4. Click "Add to cart" on all 6 products
5. Open the cart</t>
  </si>
  <si>
    <t>All 6 products</t>
  </si>
  <si>
    <t>1. Login page shows the Username field, Password field and Login button.
2. Text is typed. Password shows as dots.
3. Products page opens. URL ends with /inventory.html. Title is "Products".
4. All buttons show "Remove". Cart number shows 6.
5. 6 items listed, each with quantity 1 and the same price as the Products page.</t>
  </si>
  <si>
    <t>As expected - 6 items listed, each with quantity 1 and the same price as the Products page.</t>
  </si>
  <si>
    <t>TC62</t>
  </si>
  <si>
    <t>Remove all products from the Products page</t>
  </si>
  <si>
    <t>1. Open https://www.saucedemo.com
2. Enter "standard_user" in Username and "secret_sauce" in Password
3. Click Login
4. Add Backpack and Onesie
5. Click "Remove" on both on the Products page</t>
  </si>
  <si>
    <t>1. Login page shows the Username field, Password field and Login button.
2. Text is typed. Password shows as dots.
3. Products page opens. URL ends with /inventory.html. Title is "Products".
4. Cart number shows 2.
5. Cart number disappears (does not show 0). Both buttons show "Add to cart".</t>
  </si>
  <si>
    <t>As expected - Cart number disappears (does not show 0). Both buttons show "Add to cart".</t>
  </si>
  <si>
    <t>TC63</t>
  </si>
  <si>
    <t>Names with special and international letters</t>
  </si>
  <si>
    <t>1. Open https://www.saucedemo.com
2. Enter "standard_user" in Username and "secret_sauce" in Password
3. Click Login
4. Click "Add to cart" on Sauce Labs Onesie
5. Click the cart icon, then click Checkout
6. Enter First Name O'Brien, Last Name Customer, Zip 12345, click Continue
7. Repeat with José, Anne-Marie and 李</t>
  </si>
  <si>
    <t>Run 4 times: O'Brien / José / Anne-Marie / 李 as First Name; Last Name: Customer; Zip: 12345</t>
  </si>
  <si>
    <t>1. Login page shows the Username field, Password field and Login button.
2. Text is typed. Password shows as dots.
3. Products page opens. URL ends with /inventory.html. Title is "Products".
4. Button changes to "Remove".
5. "Checkout: Your Information" page opens.
6. "Checkout: Overview" opens.
7. "Checkout: Overview" opens each time.</t>
  </si>
  <si>
    <t>Yes - extended regression; form and checkout check.</t>
  </si>
  <si>
    <t>As expected - O'Brien, José, Anne-Marie and 李 were all accepted and the Overview opened.</t>
  </si>
  <si>
    <t>TC64</t>
  </si>
  <si>
    <t>Different zip / postal code formats</t>
  </si>
  <si>
    <t>1. Open https://www.saucedemo.com
2. Enter "standard_user" in Username and "secret_sauce" in Password
3. Click Login
4. Click "Add to cart" on Sauce Labs Onesie
5. Click the cart icon, then click Checkout
6. Enter Test / Customer / 12345-6789, click Continue
7. Repeat with SW1A 1AA and 560001</t>
  </si>
  <si>
    <t>Run 3 times: 12345-6789 / SW1A 1AA / 560001</t>
  </si>
  <si>
    <t>As expected - 12345-6789, SW1A 1AA and 560001 were all accepted and the Overview opened.</t>
  </si>
  <si>
    <t>ASSUMPTION: any format is accepted (no rule published; confirm with product owner).</t>
  </si>
  <si>
    <t>TC65</t>
  </si>
  <si>
    <t>Close the checkout error and fix it</t>
  </si>
  <si>
    <t>1. Open https://www.saucedemo.com
2. Enter "standard_user" in Username and "secret_sauce" in Password
3. Click Login
4. Click "Add to cart" on Sauce Labs Onesie
5. Click the cart icon, then click Checkout
6. Leave First Name empty, enter Customer / 12345, click Continue
7. Click X, then enter "Test" and click Continue</t>
  </si>
  <si>
    <t>First Name empty, then "Test"</t>
  </si>
  <si>
    <t>1. Login page shows the Username field, Password field and Login button.
2. Text is typed. Password shows as dots.
3. Products page opens. URL ends with /inventory.html. Title is "Products".
4. Button changes to "Remove".
5. "Checkout: Your Information" page opens.
6. Error: "Error: First Name is required" with an X button.
7. Error disappears. "Checkout: Overview" opens.</t>
  </si>
  <si>
    <t>As expected - Error disappears. "Checkout: Overview" opens.</t>
  </si>
  <si>
    <t>TC66</t>
  </si>
  <si>
    <t>Payment and shipping details on the Overview</t>
  </si>
  <si>
    <t>1. Open https://www.saucedemo.com
2. Enter "standard_user" in Username and "secret_sauce" in Password
3. Click Login
4. Click "Add to cart" on Sauce Labs Onesie
5. Click the cart icon, then click Checkout
6. Enter First Name "Test", Last Name "Customer", Zip "12345" and click Continue
7. Look at the Overview page</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</si>
  <si>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Payment Information: "SauceCard #31337". Shipping Information: "Free Pony Express Delivery!".</t>
  </si>
  <si>
    <t>As expected - Payment Information: "SauceCard #31337". Shipping Information: "Free Pony Express Delivery!".</t>
  </si>
  <si>
    <t>TC67</t>
  </si>
  <si>
    <t>Refresh the Overview page</t>
  </si>
  <si>
    <t>1. Open https://www.saucedemo.com
2. Enter "standard_user" in Username and "secret_sauce" in Password
3. Click Login
4. Click "Add to cart" on Sauce Labs Onesie
5. Click the cart icon, then click Checkout
6. Enter First Name "Test", Last Name "Customer", Zip "12345" and click Continue
7. Note Item total, Tax and Total, then press F5</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</si>
  <si>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Same item, same Item total ($7.99), Tax and Total.</t>
  </si>
  <si>
    <t>As expected - Same item, same Item total ($7.99), Tax and Total.</t>
  </si>
  <si>
    <t>TC68</t>
  </si>
  <si>
    <t>Browser Back from Overview</t>
  </si>
  <si>
    <t>1. Open https://www.saucedemo.com
2. Enter "standard_user" in Username and "secret_sauce" in Password
3. Click Login
4. Click "Add to cart" on Sauce Labs Onesie
5. Click the cart icon, then click Checkout
6. Enter First Name "Test", Last Name "Customer", Zip "12345" and click Continue
7. Press the browser Back button
8. Look at the fields</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</si>
  <si>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"Checkout: Your Information" page opens.
8. Note if Test / Customer / 12345 are still filled.</t>
  </si>
  <si>
    <t>As expected - the "Checkout: Your Information" page opened. Whether the typed details stay filled was not checked.</t>
  </si>
  <si>
    <t>No rule given for keeping the values (confirm with product owner).</t>
  </si>
  <si>
    <t>TC69</t>
  </si>
  <si>
    <t>Checkout with all fields empty</t>
  </si>
  <si>
    <t>1. Open https://www.saucedemo.com
2. Enter "standard_user" in Username and "secret_sauce" in Password
3. Click Login
4. Click "Add to cart" on Sauce Labs Onesie
5. Click the cart icon, then click Checkout
6. Leave all fields empty and click Continue</t>
  </si>
  <si>
    <t>All fields empty</t>
  </si>
  <si>
    <t>1. Login page shows the Username field, Password field and Login button.
2. Text is typed. Password shows as dots.
3. Products page opens. URL ends with /inventory.html. Title is "Products".
4. Button changes to "Remove".
5. "Checkout: Your Information" page opens.
6. Error: "Error: First Name is required" (first field is checked first). Still on "Checkout: Your Information".</t>
  </si>
  <si>
    <t>As expected - Error: "Error: First Name is required" (first field is checked first). Still on "Checkout: Your Information".</t>
  </si>
  <si>
    <t>TC70</t>
  </si>
  <si>
    <t>Checkout with only spaces in all fields</t>
  </si>
  <si>
    <t>1. Open https://www.saucedemo.com
2. Enter "standard_user" in Username and "secret_sauce" in Password
3. Click Login
4. Click "Add to cart" on Sauce Labs Onesie
5. Click the cart icon, then click Checkout
6. Type 3 spaces in First Name, Last Name and Zip, click Continue</t>
  </si>
  <si>
    <t>First Name, Last Name, Zip: 3 spaces each</t>
  </si>
  <si>
    <t>1. Login page shows the Username field, Password field and Login button.
2. Text is typed. Password shows as dots.
3. Products page opens. URL ends with /inventory.html. Title is "Products".
4. Button changes to "Remove".
5. "Checkout: Your Information" page opens.
6. Error is shown. User stays on "Checkout: Your Information".</t>
  </si>
  <si>
    <t>No error was shown. The Overview page opened with details made of spaces only.</t>
  </si>
  <si>
    <t>BUG-02</t>
  </si>
  <si>
    <t>ASSUMPTION: blank (spaces only) is not a valid name (confirm with product owner). Seen on 27-Oct-2026: ACCEPTED and Overview opened - possible bug (BUG-02).</t>
  </si>
  <si>
    <t>TC71</t>
  </si>
  <si>
    <t>Script text in First Name is treated as plain text</t>
  </si>
  <si>
    <t>1. Open https://www.saucedemo.com
2. Enter "standard_user" in Username and "secret_sauce" in Password
3. Click Login
4. Click "Add to cart" on Sauce Labs Onesie
5. Click the cart icon, then click Checkout
6. Enter &lt;img src=x onerror=alert(1)&gt; as First Name, Customer / 12345, click Continue</t>
  </si>
  <si>
    <t>First Name: &lt;img src=x onerror=alert(1)&gt;</t>
  </si>
  <si>
    <t>1. Login page shows the Username field, Password field and Login button.
2. Text is typed. Password shows as dots.
3. Products page opens. URL ends with /inventory.html. Title is "Products".
4. Button changes to "Remove".
5. "Checkout: Your Information" page opens.
6. No pop-up appears. "Checkout: Overview" opens.</t>
  </si>
  <si>
    <t>As expected - No pop-up appears. "Checkout: Overview" opens.</t>
  </si>
  <si>
    <t>TC72</t>
  </si>
  <si>
    <t>Open the Overview page with an empty cart</t>
  </si>
  <si>
    <t>1. Open https://www.saucedemo.com
2. Enter "standard_user" in Username and "secret_sauce" in Password
3. Click Login
4. With an empty cart, type https://www.saucedemo.com/checkout-step-two.html in the address bar</t>
  </si>
  <si>
    <t>https://www.saucedemo.com/checkout-step-two.html</t>
  </si>
  <si>
    <t>1. Login page shows the Username field, Password field and Login button.
2. Text is typed. Password shows as dots.
3. Products page opens. URL ends with /inventory.html. Title is "Products".
4. Order cannot be finished with no items (Finish blocked or user sent back).</t>
  </si>
  <si>
    <t>The Overview page opened with Total $0.00 and a Finish button.</t>
  </si>
  <si>
    <t>BUG-03</t>
  </si>
  <si>
    <t>ASSUMPTION: an empty order should not be possible (confirm with product owner). Seen on 27-Oct-2026: Total $0.00 and Finish button shown - possible bug (BUG-03).</t>
  </si>
  <si>
    <t>TC73</t>
  </si>
  <si>
    <t>Checkout button with an empty cart</t>
  </si>
  <si>
    <t>1. Open https://www.saucedemo.com
2. Enter "standard_user" in Username and "secret_sauce" in Password
3. Click Login
4. Open the cart with no items
5. Click Checkout</t>
  </si>
  <si>
    <t>Empty cart</t>
  </si>
  <si>
    <t>1. Login page shows the Username field, Password field and Login button.
2. Text is typed. Password shows as dots.
3. Products page opens. URL ends with /inventory.html. Title is "Products".
4. Cart is empty.
5. Checkout is blocked or a message says the cart is empty.</t>
  </si>
  <si>
    <t>Checkout opened even though the cart was empty.</t>
  </si>
  <si>
    <t>ASSUMPTION (confirm with product owner). Seen on 27-Oct-2026: Checkout opens with an empty cart (BUG-03).</t>
  </si>
  <si>
    <t>TC74</t>
  </si>
  <si>
    <t>Very long name values</t>
  </si>
  <si>
    <t>1. Open https://www.saucedemo.com
2. Enter "standard_user" in Username and "secret_sauce" in Password
3. Click Login
4. Click "Add to cart" on Sauce Labs Onesie
5. Click the cart icon, then click Checkout
6. Paste 255 letters into First Name, Last Name and Zip, click Continue</t>
  </si>
  <si>
    <t>255 letters in each field</t>
  </si>
  <si>
    <t>1. Login page shows the Username field, Password field and Login button.
2. Text is typed. Password shows as dots.
3. Products page opens. URL ends with /inventory.html. Title is "Products".
4. Button changes to "Remove".
5. "Checkout: Your Information" page opens.
6. No crash. Page layout is not broken. Note if Overview opens or an error is shown.</t>
  </si>
  <si>
    <t>As expected - the 255-character details were accepted and the Overview page opened. No crash and the page layout was not broken.</t>
  </si>
  <si>
    <t>No length rule is published (confirm with product owner).</t>
  </si>
  <si>
    <t>TC75</t>
  </si>
  <si>
    <t>Order total for one product</t>
  </si>
  <si>
    <t>1. Open https://www.saucedemo.com
2. Enter "standard_user" in Username and "secret_sauce" in Password
3. Click Login
4. Click "Add to cart" on Sauce Labs Onesie
5. Click the cart icon
6. Click Checkout, enter Test / Customer / 12345, click Continue
7. Check the items on the Overview
8. Check Item total, Tax and Total
9. Click Finish
10. Click "Back Home"</t>
  </si>
  <si>
    <t>User: standard_user
Products: Sauce Labs Onesie ($7.99)
First Name: Test, Last Name: Customer, Zip: 12345</t>
  </si>
  <si>
    <t>1. Login page shows the Username field, Password field and Login button.
2. Text is typed. Password shows as dots.
3. Products page opens. URL ends with /inventory.html. Title is "Products". Products are listed. No cart number on the cart icon.
4. Buttons change to "Remove". Cart number shows 1.
5. "Your Cart" page shows exactly the added products at the Products page prices.
6. "Checkout: Overview" page opens.
7. Exactly the added products at the same prices.
8. Item total = $7.99. Total = Item total + Tax (to the cent).
9. Message: "Thank you for your order!"
10. Products page opens. No cart number.</t>
  </si>
  <si>
    <t>Yes - extended regression; money rule.</t>
  </si>
  <si>
    <t>As expected - Item total $7.99 + Tax $0.64 = Total $8.63. Order completed, cart empty.</t>
  </si>
  <si>
    <t>TC76</t>
  </si>
  <si>
    <t>Order total for two products</t>
  </si>
  <si>
    <t>1. Open https://www.saucedemo.com
2. Enter "standard_user" in Username and "secret_sauce" in Password
3. Click Login
4. Click "Add to cart" on Sauce Labs Backpack and Sauce Labs Bike Light
5. Click the cart icon
6. Click Checkout, enter Test / Customer / 12345, click Continue
7. Check the items on the Overview
8. Check Item total, Tax and Total
9. Click Finish
10. Click "Back Home"</t>
  </si>
  <si>
    <t>User: standard_user
Products: Sauce Labs Backpack ($29.99), Sauce Labs Bike Light ($9.99)
First Name: Test, Last Name: Customer, Zip: 12345</t>
  </si>
  <si>
    <t>1. Login page shows the Username field, Password field and Login button.
2. Text is typed. Password shows as dots.
3. Products page opens. URL ends with /inventory.html. Title is "Products". Products are listed. No cart number on the cart icon.
4. Buttons change to "Remove". Cart number shows 2.
5. "Your Cart" page shows exactly the added products at the Products page prices.
6. "Checkout: Overview" page opens.
7. Exactly the added products at the same prices.
8. Item total = $29.99 + $9.99 = $39.98. Total = Item total + Tax (to the cent).
9. Message: "Thank you for your order!"
10. Products page opens. No cart number.</t>
  </si>
  <si>
    <t>As expected - Item total $39.98 + Tax $3.20 = Total $43.18. Order completed, cart empty.</t>
  </si>
  <si>
    <t>TC77</t>
  </si>
  <si>
    <t>Tax rate is the same for different orders</t>
  </si>
  <si>
    <t>1. Open https://www.saucedemo.com
2. Enter "standard_user" in Username and "secret_sauce" in Password
3. Click Login
4. Click "Add to cart" on Sauce Labs Onesie
5. Click the cart icon, then click Checkout
6. Enter First Name "Test", Last Name "Customer", Zip "12345" and click Continue
7. Note Item total and Tax, then work out Tax / Item total
8. Go back, add Backpack and Bike Light instead, reach the Overview again
9. Work out Tax / Item total again</t>
  </si>
  <si>
    <t>Order 1: Onesie ($7.99)
Order 2: Backpack + Bike Light ($39.98)</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</si>
  <si>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Seen: $0.64 / $7.99 = about 8%.
8. Item total $39.98.
9. Same rate (about 8%, e.g. $3.20). Total = Item total + Tax in both orders.</t>
  </si>
  <si>
    <t>As expected - both orders used the same tax rate (about 8%).</t>
  </si>
  <si>
    <t>The 8% rate is what the site shows; the business has not given a rate (confirm with product owner).</t>
  </si>
  <si>
    <t>TC78</t>
  </si>
  <si>
    <t>Order confirmation page content</t>
  </si>
  <si>
    <t>1. Open https://www.saucedemo.com
2. Enter "standard_user" in Username and "secret_sauce" in Password
3. Click Login
4. Click "Add to cart" on Sauce Labs Onesie
5. Click the cart icon, then click Checkout
6. Enter First Name "Test", Last Name "Customer", Zip "12345" and click Continue
7. Click Finish</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</si>
  <si>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"Checkout: Complete!" page. Heading "Thank you for your order!". Text "Your order has been dispatched, and will arrive just as fast as the pony can get there!". Pony image. "Back Home" button. No cart number.</t>
  </si>
  <si>
    <t>Yes - for what the user sees; the order count needs an API or database check.</t>
  </si>
  <si>
    <t>As expected - "Checkout: Complete!" page. Heading "Thank you for your order!". Text "Your order has been dispatched, and will arrive just as fast as the pony can get there!". Pony image. "Back Home" button. No cart number.</t>
  </si>
  <si>
    <t>TC79</t>
  </si>
  <si>
    <t>"Generate PDF order" button</t>
  </si>
  <si>
    <t>1. Open https://www.saucedemo.com
2. Enter "standard_user" in Username and "secret_sauce" in Password
3. Click Login
4. Click "Add to cart" on Sauce Labs Onesie
5. Click the cart icon, then click Checkout
6. Enter First Name "Test", Last Name "Customer", Zip "12345" and click Continue
7. Click Finish
8. Click "Generate PDF order"</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</si>
  <si>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Confirmation page shows "Generate PDF order" button.
8. A PDF of the order opens or downloads with the item (Onesie $7.99) and the total.</t>
  </si>
  <si>
    <t>A PDF file (swag-labs-order-&lt;date&gt;.pdf) was downloaded and is not empty. The PDF was not opened, so its content still needs a check by hand.</t>
  </si>
  <si>
    <t>ASSUMPTION about the PDF content (feature has no written rule; confirm with product owner).</t>
  </si>
  <si>
    <t>TC80</t>
  </si>
  <si>
    <t>Browser Back after the order is placed</t>
  </si>
  <si>
    <t>1. Open https://www.saucedemo.com
2. Enter "standard_user" in Username and "secret_sauce" in Password
3. Click Login
4. Click "Add to cart" on Sauce Labs Onesie
5. Click the cart icon, then click Checkout
6. Enter First Name "Test", Last Name "Customer", Zip "12345" and click Continue
7. Click Finish
8. Press the browser Back button
9. If a Finish button is shown, click it</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</si>
  <si>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"Thank you for your order!" page.
8. The old order is not shown again with items. Cart stays empty.
9. No second order with items is placed.</t>
  </si>
  <si>
    <t>As expected - after Back, the Overview showed 0 items and the cart stayed empty.</t>
  </si>
  <si>
    <t>Seen on 27-Oct-2026: Back shows the Overview with 0 items.</t>
  </si>
  <si>
    <t>TC81</t>
  </si>
  <si>
    <t>Refresh the confirmation page</t>
  </si>
  <si>
    <t>1. Open https://www.saucedemo.com
2. Enter "standard_user" in Username and "secret_sauce" in Password
3. Click Login
4. Click "Add to cart" on Sauce Labs Onesie
5. Click the cart icon, then click Checkout
6. Enter First Name "Test", Last Name "Customer", Zip "12345" and click Continue
7. Click Finish
8. Press F5</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</si>
  <si>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"Thank you for your order!" page.
8. Same page, no error, cart stays empty. No second order.</t>
  </si>
  <si>
    <t>As expected - Same page, no error, cart stays empty. No second order.</t>
  </si>
  <si>
    <t>TC82</t>
  </si>
  <si>
    <t>Finish the same cart in two tabs</t>
  </si>
  <si>
    <t>1. Open https://www.saucedemo.com
2. Enter "standard_user" in Username and "secret_sauce" in Password
3. Click Login
4. Click "Add to cart" on Sauce Labs Onesie
5. Click the cart icon, then click Checkout
6. Enter First Name "Test", Last Name "Customer", Zip "12345" and click Continue
7. Copy the Overview URL into a second tab
8. Click Finish in tab 1, then in tab 2</t>
  </si>
  <si>
    <t>1. Login page shows the Username field, Password field and Login button.
2. Text is typed. Password shows as dots.
3. Products page opens. URL ends with /inventory.html. Title is "Products".
4. Button changes to "Remove".
5. "Checkout: Your Information" page opens.
6. "Checkout: Overview" page opens. URL ends with /checkout-step-two.html.
7. Overview opens in both tabs.
8. Only one order is placed for the one cart. Tab 2 shows a clear result (empty order blocked or message).</t>
  </si>
  <si>
    <t>Tab 2 also showed "Thank you for your order!" for the same cart.</t>
  </si>
  <si>
    <t>BUG-07</t>
  </si>
  <si>
    <t>Needs backend/order list to fully confirm.</t>
  </si>
  <si>
    <t>TC83</t>
  </si>
  <si>
    <t>Menu opens and closes</t>
  </si>
  <si>
    <t>1. Open https://www.saucedemo.com
2. Enter "standard_user" in Username and "secret_sauce" in Password
3. Click Login
4. Click the menu button (☰)
5. Click the X in the menu</t>
  </si>
  <si>
    <t>1. Login page shows the Username field, Password field and Login button.
2. Text is typed. Password shows as dots.
3. Products page opens. URL ends with /inventory.html. Title is "Products".
4. Menu shows: All Items, Dynamic Catalog, About, Logout, Reset App State.
5. Menu closes.</t>
  </si>
  <si>
    <t>Yes - extended regression; stable navigation check.</t>
  </si>
  <si>
    <t>As expected - the menu showed All Items, Dynamic Catalog, About, Logout, Reset App State and closed with X.</t>
  </si>
  <si>
    <t>TC84</t>
  </si>
  <si>
    <t>"All Items" goes back to Products from any page</t>
  </si>
  <si>
    <t>1. Open https://www.saucedemo.com
2. Enter "standard_user" in Username and "secret_sauce" in Password
3. Click Login
4. Click "Add to cart" on Sauce Labs Onesie
5. Click the cart icon, then click Checkout
6. Menu &gt; All Items</t>
  </si>
  <si>
    <t>1. Login page shows the Username field, Password field and Login button.
2. Text is typed. Password shows as dots.
3. Products page opens. URL ends with /inventory.html. Title is "Products".
4. Button changes to "Remove".
5. "Checkout: Your Information" page opens.
6. Products page opens. Cart number still 1.</t>
  </si>
  <si>
    <t>As expected - Products page opens. Cart number still 1.</t>
  </si>
  <si>
    <t>TC85</t>
  </si>
  <si>
    <t>"About" link</t>
  </si>
  <si>
    <t>1. Open https://www.saucedemo.com
2. Enter "standard_user" in Username and "secret_sauce" in Password
3. Click Login
4. Menu &gt; About</t>
  </si>
  <si>
    <t>1. Login page shows the Username field, Password field and Login button.
2. Text is typed. Password shows as dots.
3. Products page opens. URL ends with /inventory.html. Title is "Products".
4. Sauce Labs website (saucelabs.com) opens.</t>
  </si>
  <si>
    <t>As expected - the About link points to https://saucelabs.com/. The external site was not opened.</t>
  </si>
  <si>
    <t>Do not test the external site.</t>
  </si>
  <si>
    <t>TC86</t>
  </si>
  <si>
    <t>"Reset App State" clears the cart</t>
  </si>
  <si>
    <t>1. Open https://www.saucedemo.com
2. Enter "standard_user" in Username and "secret_sauce" in Password
3. Click Login
4. Add Backpack and Bike Light
5. Menu &gt; Reset App State</t>
  </si>
  <si>
    <t>1. Login page shows the Username field, Password field and Login button.
2. Text is typed. Password shows as dots.
3. Products page opens. URL ends with /inventory.html. Title is "Products".
4. Cart number shows 2.
5. Cart number disappears. Every product button shows "Add to cart" (without refreshing).</t>
  </si>
  <si>
    <t>The cart number went away, but the products still showed "Remove" until the page was refreshed.</t>
  </si>
  <si>
    <t>BUG-04</t>
  </si>
  <si>
    <t>Seen on 27-Oct-2026: one "Remove" button stayed until the page was refreshed - possible bug (BUG-04).</t>
  </si>
  <si>
    <t>TC87</t>
  </si>
  <si>
    <t>Cart icon works from every page</t>
  </si>
  <si>
    <t>1. Open https://www.saucedemo.com
2. Enter "standard_user" in Username and "secret_sauce" in Password
3. Click Login
4. Add Onesie. Click the cart icon from the Products page, a product page and "Checkout: Your Information"</t>
  </si>
  <si>
    <t>1. Login page shows the Username field, Password field and Login button.
2. Text is typed. Password shows as dots.
3. Products page opens. URL ends with /inventory.html. Title is "Products".
4. "Your Cart" opens each time with Onesie in it.</t>
  </si>
  <si>
    <t>As expected - "Your Cart" opens each time with Onesie in it.</t>
  </si>
  <si>
    <t>TC88</t>
  </si>
  <si>
    <t>Refresh keeps the user logged in</t>
  </si>
  <si>
    <t>1. Open https://www.saucedemo.com
2. Enter "standard_user" in Username and "secret_sauce" in Password
3. Click Login
4. Press F5 on Products, then on the cart page</t>
  </si>
  <si>
    <t>1. Login page shows the Username field, Password field and Login button.
2. Text is typed. Password shows as dots.
3. Products page opens. URL ends with /inventory.html. Title is "Products".
4. User stays logged in on the same page.</t>
  </si>
  <si>
    <t>Yes - extended regression; access check (browser side only).</t>
  </si>
  <si>
    <t>As expected - User stays logged in on the same page.</t>
  </si>
  <si>
    <t>TC89</t>
  </si>
  <si>
    <t>Open /checkout-step-one.html without logging in</t>
  </si>
  <si>
    <t>1. Check you are not logged in (new private window)
2. Type https://www.saucedemo.com/checkout-step-one.html in the address bar and press Enter
3. Look at the page</t>
  </si>
  <si>
    <t>URL: https://www.saucedemo.com/checkout-step-one.html</t>
  </si>
  <si>
    <t>1. No Sauce Demo session is open.
2. Error shown: "Epic sadface: You can only access '/checkout-step-one.html' when you are logged in."
3. Login page is shown (Username, Password, Login). Cart icon is NOT visible.</t>
  </si>
  <si>
    <t>As expected - the login page showed "Epic sadface: You can only access '/checkout-step-one.html' when you are logged in." and the cart icon was not visible.</t>
  </si>
  <si>
    <t>TC90</t>
  </si>
  <si>
    <t>Open /checkout-step-two.html without logging in</t>
  </si>
  <si>
    <t>1. Check you are not logged in (new private window)
2. Type https://www.saucedemo.com/checkout-step-two.html in the address bar and press Enter
3. Look at the page</t>
  </si>
  <si>
    <t>URL: https://www.saucedemo.com/checkout-step-two.html</t>
  </si>
  <si>
    <t>1. No Sauce Demo session is open.
2. Error shown: "Epic sadface: You can only access '/checkout-step-two.html' when you are logged in."
3. Login page is shown (Username, Password, Login). Cart icon is NOT visible.</t>
  </si>
  <si>
    <t>As expected - the login page showed "Epic sadface: You can only access '/checkout-step-two.html' when you are logged in." and the cart icon was not visible.</t>
  </si>
  <si>
    <t>TC91</t>
  </si>
  <si>
    <t>Open /checkout-complete.html without logging in</t>
  </si>
  <si>
    <t>1. Check you are not logged in (new private window)
2. Type https://www.saucedemo.com/checkout-complete.html in the address bar and press Enter
3. Look at the page</t>
  </si>
  <si>
    <t>URL: https://www.saucedemo.com/checkout-complete.html</t>
  </si>
  <si>
    <t>1. No Sauce Demo session is open.
2. Error shown: "Epic sadface: You can only access '/checkout-complete.html' when you are logged in."
3. Login page is shown (Username, Password, Login). Cart icon is NOT visible.</t>
  </si>
  <si>
    <t>As expected - the login page showed "Epic sadface: You can only access '/checkout-complete.html' when you are logged in." and the cart icon was not visible.</t>
  </si>
  <si>
    <t>TC92</t>
  </si>
  <si>
    <t>Open /inventory-item.html without logging in</t>
  </si>
  <si>
    <t>1. Check you are not logged in (new private window)
2. Type https://www.saucedemo.com/inventory-item.html?id=4 in the address bar and press Enter
3. Look at the page</t>
  </si>
  <si>
    <t>URL: https://www.saucedemo.com/inventory-item.html?id=4</t>
  </si>
  <si>
    <t>1. No Sauce Demo session is open.
2. Error shown: "Epic sadface: You can only access '/inventory-item.html' when you are logged in."
3. Login page is shown (Username, Password, Login). Cart icon is NOT visible.</t>
  </si>
  <si>
    <t>As expected - the login page showed "Epic sadface: You can only access '/inventory-item.html' when you are logged in." and the cart icon was not visible.</t>
  </si>
  <si>
    <t>TC93</t>
  </si>
  <si>
    <t>Browser Back after logout</t>
  </si>
  <si>
    <t>1. Open https://www.saucedemo.com
2. Enter "standard_user" in Username and "secret_sauce" in Password
3. Click Login
4. Menu &gt; Logout
5. Press the browser Back button</t>
  </si>
  <si>
    <t>1. Login page shows the Username field, Password field and Login button.
2. Text is typed. Password shows as dots.
3. Products page opens. URL ends with /inventory.html. Title is "Products".
4. Login page is shown.
5. Products page is NOT usable. Login page / access message is shown.</t>
  </si>
  <si>
    <t>As expected - after Back, the login page showed "Epic sadface: You can only access '/inventory.html' when you are logged in." and no products.</t>
  </si>
  <si>
    <t>TC94</t>
  </si>
  <si>
    <t>Session timeout</t>
  </si>
  <si>
    <t>1. Open https://www.saucedemo.com
2. Enter "standard_user" in Username and "secret_sauce" in Password
3. Click Login
4. Do nothing for 11 minutes, then click any link</t>
  </si>
  <si>
    <t>standard_user, wait 11 minutes</t>
  </si>
  <si>
    <t>1. Login page shows the Username field, Password field and Login button.
2. Text is typed. Password shows as dots.
3. Products page opens. URL ends with /inventory.html. Title is "Products".
4. User is sent to the login page with an access message.</t>
  </si>
  <si>
    <t>As expected - after the login cookie was removed (the same as the session ending), clicking the cart showed the login page with "Epic sadface: You can only access '/cart.html' when you are logged in." The real 11-minute wait was not done.</t>
  </si>
  <si>
    <t>ASSUMPTION: session ends after about 10 minutes (the login cookie expires in ~10 min; confirm with product owner).</t>
  </si>
  <si>
    <t>TC95</t>
  </si>
  <si>
    <t>error_user can complete an order</t>
  </si>
  <si>
    <t>1. Open https://www.saucedemo.com
2. Enter "error_user" in Username and "secret_sauce" in Password
3. Click Login
4. Add Onesie, then Remove it, then add it again
5. Open the cart, Checkout, enter Test / Customer / 12345, Continue, Finish</t>
  </si>
  <si>
    <t>error_user, Sauce Labs Onesie</t>
  </si>
  <si>
    <t>1. Login page shows the Username field, Password field and Login button.
2. Text is typed. Password shows as dots.
3. Products page opens. URL ends with /inventory.html. Title is "Products".
4. Buttons and cart number change correctly.
5. "Thank you for your order!" is shown. No errors on the way.</t>
  </si>
  <si>
    <t>Yes - compares a demo user with standard_user.</t>
  </si>
  <si>
    <t>Clicking "Remove" did nothing: the button stayed "Remove" and the cart number stayed 1.</t>
  </si>
  <si>
    <t>BUG-08</t>
  </si>
  <si>
    <t>Compare with standard_user. Log every difference as a bug with a screenshot.</t>
  </si>
  <si>
    <t>TC96</t>
  </si>
  <si>
    <t>problem_user checkout form keeps typed values</t>
  </si>
  <si>
    <t>1. Open https://www.saucedemo.com
2. Enter "problem_user" in Username and "secret_sauce" in Password
3. Click Login
4. Add Onesie, open the cart, click Checkout
5. Type Test, Customer and 12345
6. Click Continue</t>
  </si>
  <si>
    <t>problem_user, Test / Customer / 12345</t>
  </si>
  <si>
    <t>1. Login page shows the Username field, Password field and Login button.
2. Text is typed. Password shows as dots.
3. Products page opens. URL ends with /inventory.html. Title is "Products".
4. "Checkout: Your Information" opens.
5. Each field shows exactly what was typed.
6. "Checkout: Overview" opens.</t>
  </si>
  <si>
    <t>The First Name field did not keep "Test" - typing the last name changed the First Name field.</t>
  </si>
  <si>
    <t>BUG-09</t>
  </si>
  <si>
    <t>Compare with standard_user. Log every difference as a bug.</t>
  </si>
  <si>
    <t>TC97</t>
  </si>
  <si>
    <t>problem_user product images are correct</t>
  </si>
  <si>
    <t>1. Open https://www.saucedemo.com
2. Enter "problem_user" in Username and "secret_sauce" in Password
3. Click Login
4. Look at every product image</t>
  </si>
  <si>
    <t>problem_user</t>
  </si>
  <si>
    <t>1. Login page shows the Username field, Password field and Login button.
2. Text is typed. Password shows as dots.
3. Products page opens. URL ends with /inventory.html. Title is "Products".
4. Each product shows its own correct image (same as standard_user).</t>
  </si>
  <si>
    <t>Every product showed the same wrong picture instead of its own image.</t>
  </si>
  <si>
    <t>BUG-10</t>
  </si>
  <si>
    <t>TC98</t>
  </si>
  <si>
    <t>visual_user page looks the same as standard_user</t>
  </si>
  <si>
    <t>1. Open https://www.saucedemo.com
2. Enter "visual_user" in Username and "secret_sauce" in Password
3. Click Login
4. Compare the Products page with the same page for standard_user</t>
  </si>
  <si>
    <t>visual_user and standard_user</t>
  </si>
  <si>
    <t>1. Login page shows the Username field, Password field and Login button.
2. Text is typed. Password shows as dots.
3. Products page opens. URL ends with /inventory.html. Title is "Products".
4. Same layout, images, names and prices.</t>
  </si>
  <si>
    <t>Prices were different (for example $78.23 instead of $29.99) and the cart icon was in a different place.</t>
  </si>
  <si>
    <t>BUG-11</t>
  </si>
  <si>
    <t>Log every visual difference as a bug with a screenshot.</t>
  </si>
  <si>
    <t>Bugs Found</t>
  </si>
  <si>
    <t>"Open" = happens every time. "To confirm" = needs a check on screen. Where a rule is unclear, confirm it with the product owner.</t>
  </si>
  <si>
    <t>Test Case ID</t>
  </si>
  <si>
    <t>Module</t>
  </si>
  <si>
    <t>Bug Title</t>
  </si>
  <si>
    <t>Steps to Reproduce</t>
  </si>
  <si>
    <t>Expected Result</t>
  </si>
  <si>
    <t>Severity</t>
  </si>
  <si>
    <t>Sorting does not work for problem_user</t>
  </si>
  <si>
    <t>1. Open https://www.saucedemo.com
2. Log in as problem_user / secret_sauce
3. Select "Price (low to high)"
4. Read the prices from top to bottom</t>
  </si>
  <si>
    <t>Prices go from low to high: $7.99, $9.99, $15.99, $15.99, $29.99, $49.99.</t>
  </si>
  <si>
    <t>The order does not change: $29.99, $9.99, $15.99, $49.99, $7.99, $15.99. The dropdown goes back to "Name (A to Z)".</t>
  </si>
  <si>
    <t>Medium</t>
  </si>
  <si>
    <t>Open - happens every time</t>
  </si>
  <si>
    <t>Checkout accepts names made of spaces only</t>
  </si>
  <si>
    <t>1. Log in as standard_user
2. Add any product and open Checkout
3. Type 3 spaces in First Name, Last Name and Zip
4. Click Continue</t>
  </si>
  <si>
    <t>An error is shown. User cannot continue with blank details.</t>
  </si>
  <si>
    <t>No error. The Overview page opens.</t>
  </si>
  <si>
    <t>Open - happens every time (confirm the rule with the product owner)</t>
  </si>
  <si>
    <t>TC72, TC73</t>
  </si>
  <si>
    <t>An order can be started with an empty cart</t>
  </si>
  <si>
    <t>1. Log in as standard_user (cart empty)
2. Open the cart and click Checkout
3. Or type https://www.saucedemo.com/checkout-step-two.html</t>
  </si>
  <si>
    <t>User cannot check out or finish an order with no items.</t>
  </si>
  <si>
    <t>Checkout opens with an empty cart. The Overview shows Total $0.00 and a Finish button.</t>
  </si>
  <si>
    <t>"Reset App State" leaves a "Remove" button on the page</t>
  </si>
  <si>
    <t>1. Log in as standard_user
2. Add Backpack and Bike Light
3. Open the menu and click "Reset App State"
4. Look at the product buttons (do not refresh)</t>
  </si>
  <si>
    <t>Cart number disappears and every product shows "Add to cart".</t>
  </si>
  <si>
    <t>Cart number disappears, but the products still show "Remove" until the page is refreshed.</t>
  </si>
  <si>
    <t>Low</t>
  </si>
  <si>
    <t>Fields may stay red after closing the login error</t>
  </si>
  <si>
    <t>1. Open https://www.saucedemo.com
2. Click Login with both fields empty
3. Click the X on the error message</t>
  </si>
  <si>
    <t>The error and the red marks on the fields both go away.</t>
  </si>
  <si>
    <t>The error goes away, but the fields keep their error style (check if they still look red).</t>
  </si>
  <si>
    <t>To confirm - check on screen</t>
  </si>
  <si>
    <t>One user can see another user's cart</t>
  </si>
  <si>
    <t>1. Log in as standard_user
2. Add Sauce Labs Backpack and Sauce Labs Bike Light
3. Open the menu and click Logout
4. Log in as problem_user
5. Look at the cart icon and open the cart</t>
  </si>
  <si>
    <t>The cart is empty for problem_user.</t>
  </si>
  <si>
    <t>The cart number shows 2 and the cart has standard_user's 2 products.</t>
  </si>
  <si>
    <t>High</t>
  </si>
  <si>
    <t>The same cart can be ordered twice from two tabs</t>
  </si>
  <si>
    <t>1. Log in as standard_user, add Sauce Labs Onesie
2. Go to the Overview page
3. Copy the page address into a second tab
4. Click Finish in tab 1, then click Finish in tab 2</t>
  </si>
  <si>
    <t>Only one order is placed. Tab 2 does not show a second "Thank you for your order!".</t>
  </si>
  <si>
    <t>Tab 2 also shows "Thank you for your order!" for the same cart.</t>
  </si>
  <si>
    <t>error_user cannot remove a product</t>
  </si>
  <si>
    <t>1. Log in as error_user
2. Click "Add to cart" on Sauce Labs Onesie
3. Click "Remove" on Sauce Labs Onesie</t>
  </si>
  <si>
    <t>The button changes back to "Add to cart" and the cart number disappears.</t>
  </si>
  <si>
    <t>Nothing happens: the button stays "Remove" and the cart number stays 1.</t>
  </si>
  <si>
    <t>problem_user checkout form changes the typed names</t>
  </si>
  <si>
    <t>1. Log in as problem_user
2. Add Sauce Labs Onesie, open the cart, click Checkout
3. Type Test in First Name, Customer in Last Name, 12345 in Zip</t>
  </si>
  <si>
    <t>Each field keeps exactly what was typed.</t>
  </si>
  <si>
    <t>First Name shows "Customer" and Last Name stays empty - typing the last name goes into the First Name field.</t>
  </si>
  <si>
    <t>problem_user sees the wrong product images</t>
  </si>
  <si>
    <t>1. Log in as problem_user
2. Look at the product images</t>
  </si>
  <si>
    <t>Each product shows its own picture, the same as for standard_user.</t>
  </si>
  <si>
    <t>Every product shows the same wrong picture.</t>
  </si>
  <si>
    <t>visual_user sees wrong prices and a moved cart icon</t>
  </si>
  <si>
    <t>1. Log in as standard_user and note the prices and the cart icon position
2. Log out and log in as visual_user
3. Compare the Products page</t>
  </si>
  <si>
    <t>Same products, prices, images and layout as standard_user.</t>
  </si>
  <si>
    <t>Prices are different (for example $78.23 instead of $29.99) and the cart icon is in a different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</si>
</sst>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name val="Calibri"/>
    </font>
    <font>
      <i/>
      <sz val="10"/>
      <name val="Calibri"/>
    </font>
    <font>
      <b/>
      <sz val="11"/>
      <name val="Calibri"/>
    </font>
    <font>
      <sz val="11"/>
      <name val="Calibri"/>
    </font>
  </fonts>
  <fills count="3">
    <fill>
      <patternFill patternType="none"/>
    </fill>
    <fill>
      <patternFill patternType="gray125"/>
    </fill>
    <fill>
      <patternFill patternType="solid">
        <fgColor rgb="FFBDD7EE"/>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sheetViews>
  <sheetFormatPr defaultRowHeight="14.5"/>
  <cols>
    <col min="1" max="1" width="34" customWidth="1"/>
    <col min="2" max="2" width="12" customWidth="1"/>
    <col min="3" max="5" width="10" customWidth="1"/>
  </cols>
  <sheetData>
    <row r="1" spans="1:5" ht="18.5">
      <c r="A1" s="1" t="s">
        <v>0</v>
      </c>
    </row>
    <row r="2" spans="1:5">
      <c r="A2" s="2" t="s">
        <v>1</v>
      </c>
    </row>
    <row r="4" spans="1:5" ht="32" customHeight="1">
      <c r="A4" s="3" t="s">
        <v>2</v>
      </c>
      <c r="B4" s="3" t="s">
        <v>3</v>
      </c>
      <c r="C4" s="3" t="s">
        <v>4</v>
      </c>
      <c r="D4" s="3" t="s">
        <v>5</v>
      </c>
      <c r="E4" s="3" t="s">
        <v>6</v>
      </c>
    </row>
    <row r="5" spans="1:5">
      <c r="A5" s="4" t="s">
        <v>7</v>
      </c>
      <c r="B5" s="5">
        <f>COUNTA('Core Test Cases (A1)'!$A$6:$A$30)</f>
        <v>25</v>
      </c>
      <c r="C5" s="5">
        <f>COUNTIF('Core Test Cases (A1)'!$L$6:$L$30,"Pass")</f>
        <v>24</v>
      </c>
      <c r="D5" s="5">
        <f>COUNTIF('Core Test Cases (A1)'!$L$6:$L$30,"Fail")</f>
        <v>1</v>
      </c>
      <c r="E5" s="5">
        <f>COUNTIF('Core Test Cases (A1)'!$L$6:$L$30,"Not Run")</f>
        <v>0</v>
      </c>
    </row>
    <row r="6" spans="1:5">
      <c r="A6" s="4" t="s">
        <v>8</v>
      </c>
      <c r="B6" s="5">
        <f>COUNTA('Extended Test Cases'!$A$6:$A$78)</f>
        <v>73</v>
      </c>
      <c r="C6" s="5">
        <f>COUNTIF('Extended Test Cases'!$L$6:$L$78,"Pass")</f>
        <v>63</v>
      </c>
      <c r="D6" s="5">
        <f>COUNTIF('Extended Test Cases'!$L$6:$L$78,"Fail")</f>
        <v>10</v>
      </c>
      <c r="E6" s="5">
        <f>COUNTIF('Extended Test Cases'!$L$6:$L$78,"Not Run")</f>
        <v>0</v>
      </c>
    </row>
    <row r="7" spans="1:5">
      <c r="A7" s="6" t="s">
        <v>9</v>
      </c>
      <c r="B7" s="7">
        <f>B5+B6</f>
        <v>98</v>
      </c>
      <c r="C7" s="7">
        <f>C5+C6</f>
        <v>87</v>
      </c>
      <c r="D7" s="7">
        <f>D5+D6</f>
        <v>11</v>
      </c>
      <c r="E7" s="7">
        <f>E5+E6</f>
        <v>0</v>
      </c>
    </row>
    <row r="8" spans="1:5">
      <c r="A8" s="6" t="s">
        <v>10</v>
      </c>
      <c r="B8" s="5">
        <f>COUNTA(Bugs!$A$5:$A$15)</f>
        <v>11</v>
      </c>
    </row>
    <row r="10" spans="1:5" ht="32" customHeight="1">
      <c r="A10" s="3" t="s">
        <v>11</v>
      </c>
      <c r="B10" s="3" t="s">
        <v>3</v>
      </c>
      <c r="C10" s="3" t="s">
        <v>4</v>
      </c>
      <c r="D10" s="3" t="s">
        <v>5</v>
      </c>
      <c r="E10" s="3" t="s">
        <v>6</v>
      </c>
    </row>
    <row r="11" spans="1:5">
      <c r="A11" s="4" t="s">
        <v>12</v>
      </c>
      <c r="B11" s="5">
        <f>COUNTIF('Core Test Cases (A1)'!$B$6:$B$30,$A11)+COUNTIF('Extended Test Cases'!$B$6:$B$78,$A11)</f>
        <v>19</v>
      </c>
      <c r="C11" s="5">
        <f>COUNTIFS('Core Test Cases (A1)'!$B$6:$B$30,$A11,'Core Test Cases (A1)'!$L$6:$L$30,"Pass")+COUNTIFS('Extended Test Cases'!$B$6:$B$78,$A11,'Extended Test Cases'!$L$6:$L$78,"Pass")</f>
        <v>19</v>
      </c>
      <c r="D11" s="5">
        <f>COUNTIFS('Core Test Cases (A1)'!$B$6:$B$30,$A11,'Core Test Cases (A1)'!$L$6:$L$30,"Fail")+COUNTIFS('Extended Test Cases'!$B$6:$B$78,$A11,'Extended Test Cases'!$L$6:$L$78,"Fail")</f>
        <v>0</v>
      </c>
      <c r="E11" s="5">
        <f>COUNTIFS('Core Test Cases (A1)'!$B$6:$B$30,$A11,'Core Test Cases (A1)'!$L$6:$L$30,"Not Run")+COUNTIFS('Extended Test Cases'!$B$6:$B$78,$A11,'Extended Test Cases'!$L$6:$L$78,"Not Run")</f>
        <v>0</v>
      </c>
    </row>
    <row r="12" spans="1:5">
      <c r="A12" s="4" t="s">
        <v>13</v>
      </c>
      <c r="B12" s="5">
        <f>COUNTIF('Core Test Cases (A1)'!$B$6:$B$30,$A12)+COUNTIF('Extended Test Cases'!$B$6:$B$78,$A12)</f>
        <v>6</v>
      </c>
      <c r="C12" s="5">
        <f>COUNTIFS('Core Test Cases (A1)'!$B$6:$B$30,$A12,'Core Test Cases (A1)'!$L$6:$L$30,"Pass")+COUNTIFS('Extended Test Cases'!$B$6:$B$78,$A12,'Extended Test Cases'!$L$6:$L$78,"Pass")</f>
        <v>6</v>
      </c>
      <c r="D12" s="5">
        <f>COUNTIFS('Core Test Cases (A1)'!$B$6:$B$30,$A12,'Core Test Cases (A1)'!$L$6:$L$30,"Fail")+COUNTIFS('Extended Test Cases'!$B$6:$B$78,$A12,'Extended Test Cases'!$L$6:$L$78,"Fail")</f>
        <v>0</v>
      </c>
      <c r="E12" s="5">
        <f>COUNTIFS('Core Test Cases (A1)'!$B$6:$B$30,$A12,'Core Test Cases (A1)'!$L$6:$L$30,"Not Run")+COUNTIFS('Extended Test Cases'!$B$6:$B$78,$A12,'Extended Test Cases'!$L$6:$L$78,"Not Run")</f>
        <v>0</v>
      </c>
    </row>
    <row r="13" spans="1:5">
      <c r="A13" s="4" t="s">
        <v>14</v>
      </c>
      <c r="B13" s="5">
        <f>COUNTIF('Core Test Cases (A1)'!$B$6:$B$30,$A13)+COUNTIF('Extended Test Cases'!$B$6:$B$78,$A13)</f>
        <v>7</v>
      </c>
      <c r="C13" s="5">
        <f>COUNTIFS('Core Test Cases (A1)'!$B$6:$B$30,$A13,'Core Test Cases (A1)'!$L$6:$L$30,"Pass")+COUNTIFS('Extended Test Cases'!$B$6:$B$78,$A13,'Extended Test Cases'!$L$6:$L$78,"Pass")</f>
        <v>6</v>
      </c>
      <c r="D13" s="5">
        <f>COUNTIFS('Core Test Cases (A1)'!$B$6:$B$30,$A13,'Core Test Cases (A1)'!$L$6:$L$30,"Fail")+COUNTIFS('Extended Test Cases'!$B$6:$B$78,$A13,'Extended Test Cases'!$L$6:$L$78,"Fail")</f>
        <v>1</v>
      </c>
      <c r="E13" s="5">
        <f>COUNTIFS('Core Test Cases (A1)'!$B$6:$B$30,$A13,'Core Test Cases (A1)'!$L$6:$L$30,"Not Run")+COUNTIFS('Extended Test Cases'!$B$6:$B$78,$A13,'Extended Test Cases'!$L$6:$L$78,"Not Run")</f>
        <v>0</v>
      </c>
    </row>
    <row r="14" spans="1:5">
      <c r="A14" s="4" t="s">
        <v>15</v>
      </c>
      <c r="B14" s="5">
        <f>COUNTIF('Core Test Cases (A1)'!$B$6:$B$30,$A14)+COUNTIF('Extended Test Cases'!$B$6:$B$78,$A14)</f>
        <v>5</v>
      </c>
      <c r="C14" s="5">
        <f>COUNTIFS('Core Test Cases (A1)'!$B$6:$B$30,$A14,'Core Test Cases (A1)'!$L$6:$L$30,"Pass")+COUNTIFS('Extended Test Cases'!$B$6:$B$78,$A14,'Extended Test Cases'!$L$6:$L$78,"Pass")</f>
        <v>5</v>
      </c>
      <c r="D14" s="5">
        <f>COUNTIFS('Core Test Cases (A1)'!$B$6:$B$30,$A14,'Core Test Cases (A1)'!$L$6:$L$30,"Fail")+COUNTIFS('Extended Test Cases'!$B$6:$B$78,$A14,'Extended Test Cases'!$L$6:$L$78,"Fail")</f>
        <v>0</v>
      </c>
      <c r="E14" s="5">
        <f>COUNTIFS('Core Test Cases (A1)'!$B$6:$B$30,$A14,'Core Test Cases (A1)'!$L$6:$L$30,"Not Run")+COUNTIFS('Extended Test Cases'!$B$6:$B$78,$A14,'Extended Test Cases'!$L$6:$L$78,"Not Run")</f>
        <v>0</v>
      </c>
    </row>
    <row r="15" spans="1:5">
      <c r="A15" s="4" t="s">
        <v>16</v>
      </c>
      <c r="B15" s="5">
        <f>COUNTIF('Core Test Cases (A1)'!$B$6:$B$30,$A15)+COUNTIF('Extended Test Cases'!$B$6:$B$78,$A15)</f>
        <v>12</v>
      </c>
      <c r="C15" s="5">
        <f>COUNTIFS('Core Test Cases (A1)'!$B$6:$B$30,$A15,'Core Test Cases (A1)'!$L$6:$L$30,"Pass")+COUNTIFS('Extended Test Cases'!$B$6:$B$78,$A15,'Extended Test Cases'!$L$6:$L$78,"Pass")</f>
        <v>11</v>
      </c>
      <c r="D15" s="5">
        <f>COUNTIFS('Core Test Cases (A1)'!$B$6:$B$30,$A15,'Core Test Cases (A1)'!$L$6:$L$30,"Fail")+COUNTIFS('Extended Test Cases'!$B$6:$B$78,$A15,'Extended Test Cases'!$L$6:$L$78,"Fail")</f>
        <v>1</v>
      </c>
      <c r="E15" s="5">
        <f>COUNTIFS('Core Test Cases (A1)'!$B$6:$B$30,$A15,'Core Test Cases (A1)'!$L$6:$L$30,"Not Run")+COUNTIFS('Extended Test Cases'!$B$6:$B$78,$A15,'Extended Test Cases'!$L$6:$L$78,"Not Run")</f>
        <v>0</v>
      </c>
    </row>
    <row r="16" spans="1:5">
      <c r="A16" s="4" t="s">
        <v>17</v>
      </c>
      <c r="B16" s="5">
        <f>COUNTIF('Core Test Cases (A1)'!$B$6:$B$30,$A16)+COUNTIF('Extended Test Cases'!$B$6:$B$78,$A16)</f>
        <v>19</v>
      </c>
      <c r="C16" s="5">
        <f>COUNTIFS('Core Test Cases (A1)'!$B$6:$B$30,$A16,'Core Test Cases (A1)'!$L$6:$L$30,"Pass")+COUNTIFS('Extended Test Cases'!$B$6:$B$78,$A16,'Extended Test Cases'!$L$6:$L$78,"Pass")</f>
        <v>16</v>
      </c>
      <c r="D16" s="5">
        <f>COUNTIFS('Core Test Cases (A1)'!$B$6:$B$30,$A16,'Core Test Cases (A1)'!$L$6:$L$30,"Fail")+COUNTIFS('Extended Test Cases'!$B$6:$B$78,$A16,'Extended Test Cases'!$L$6:$L$78,"Fail")</f>
        <v>3</v>
      </c>
      <c r="E16" s="5">
        <f>COUNTIFS('Core Test Cases (A1)'!$B$6:$B$30,$A16,'Core Test Cases (A1)'!$L$6:$L$30,"Not Run")+COUNTIFS('Extended Test Cases'!$B$6:$B$78,$A16,'Extended Test Cases'!$L$6:$L$78,"Not Run")</f>
        <v>0</v>
      </c>
    </row>
    <row r="17" spans="1:5">
      <c r="A17" s="4" t="s">
        <v>18</v>
      </c>
      <c r="B17" s="5">
        <f>COUNTIF('Core Test Cases (A1)'!$B$6:$B$30,$A17)+COUNTIF('Extended Test Cases'!$B$6:$B$78,$A17)</f>
        <v>4</v>
      </c>
      <c r="C17" s="5">
        <f>COUNTIFS('Core Test Cases (A1)'!$B$6:$B$30,$A17,'Core Test Cases (A1)'!$L$6:$L$30,"Pass")+COUNTIFS('Extended Test Cases'!$B$6:$B$78,$A17,'Extended Test Cases'!$L$6:$L$78,"Pass")</f>
        <v>4</v>
      </c>
      <c r="D17" s="5">
        <f>COUNTIFS('Core Test Cases (A1)'!$B$6:$B$30,$A17,'Core Test Cases (A1)'!$L$6:$L$30,"Fail")+COUNTIFS('Extended Test Cases'!$B$6:$B$78,$A17,'Extended Test Cases'!$L$6:$L$78,"Fail")</f>
        <v>0</v>
      </c>
      <c r="E17" s="5">
        <f>COUNTIFS('Core Test Cases (A1)'!$B$6:$B$30,$A17,'Core Test Cases (A1)'!$L$6:$L$30,"Not Run")+COUNTIFS('Extended Test Cases'!$B$6:$B$78,$A17,'Extended Test Cases'!$L$6:$L$78,"Not Run")</f>
        <v>0</v>
      </c>
    </row>
    <row r="18" spans="1:5">
      <c r="A18" s="4" t="s">
        <v>19</v>
      </c>
      <c r="B18" s="5">
        <f>COUNTIF('Core Test Cases (A1)'!$B$6:$B$30,$A18)+COUNTIF('Extended Test Cases'!$B$6:$B$78,$A18)</f>
        <v>6</v>
      </c>
      <c r="C18" s="5">
        <f>COUNTIFS('Core Test Cases (A1)'!$B$6:$B$30,$A18,'Core Test Cases (A1)'!$L$6:$L$30,"Pass")+COUNTIFS('Extended Test Cases'!$B$6:$B$78,$A18,'Extended Test Cases'!$L$6:$L$78,"Pass")</f>
        <v>5</v>
      </c>
      <c r="D18" s="5">
        <f>COUNTIFS('Core Test Cases (A1)'!$B$6:$B$30,$A18,'Core Test Cases (A1)'!$L$6:$L$30,"Fail")+COUNTIFS('Extended Test Cases'!$B$6:$B$78,$A18,'Extended Test Cases'!$L$6:$L$78,"Fail")</f>
        <v>1</v>
      </c>
      <c r="E18" s="5">
        <f>COUNTIFS('Core Test Cases (A1)'!$B$6:$B$30,$A18,'Core Test Cases (A1)'!$L$6:$L$30,"Not Run")+COUNTIFS('Extended Test Cases'!$B$6:$B$78,$A18,'Extended Test Cases'!$L$6:$L$78,"Not Run")</f>
        <v>0</v>
      </c>
    </row>
    <row r="19" spans="1:5">
      <c r="A19" s="4" t="s">
        <v>20</v>
      </c>
      <c r="B19" s="5">
        <f>COUNTIF('Core Test Cases (A1)'!$B$6:$B$30,$A19)+COUNTIF('Extended Test Cases'!$B$6:$B$78,$A19)</f>
        <v>5</v>
      </c>
      <c r="C19" s="5">
        <f>COUNTIFS('Core Test Cases (A1)'!$B$6:$B$30,$A19,'Core Test Cases (A1)'!$L$6:$L$30,"Pass")+COUNTIFS('Extended Test Cases'!$B$6:$B$78,$A19,'Extended Test Cases'!$L$6:$L$78,"Pass")</f>
        <v>4</v>
      </c>
      <c r="D19" s="5">
        <f>COUNTIFS('Core Test Cases (A1)'!$B$6:$B$30,$A19,'Core Test Cases (A1)'!$L$6:$L$30,"Fail")+COUNTIFS('Extended Test Cases'!$B$6:$B$78,$A19,'Extended Test Cases'!$L$6:$L$78,"Fail")</f>
        <v>1</v>
      </c>
      <c r="E19" s="5">
        <f>COUNTIFS('Core Test Cases (A1)'!$B$6:$B$30,$A19,'Core Test Cases (A1)'!$L$6:$L$30,"Not Run")+COUNTIFS('Extended Test Cases'!$B$6:$B$78,$A19,'Extended Test Cases'!$L$6:$L$78,"Not Run")</f>
        <v>0</v>
      </c>
    </row>
    <row r="20" spans="1:5">
      <c r="A20" s="4" t="s">
        <v>21</v>
      </c>
      <c r="B20" s="5">
        <f>COUNTIF('Core Test Cases (A1)'!$B$6:$B$30,$A20)+COUNTIF('Extended Test Cases'!$B$6:$B$78,$A20)</f>
        <v>9</v>
      </c>
      <c r="C20" s="5">
        <f>COUNTIFS('Core Test Cases (A1)'!$B$6:$B$30,$A20,'Core Test Cases (A1)'!$L$6:$L$30,"Pass")+COUNTIFS('Extended Test Cases'!$B$6:$B$78,$A20,'Extended Test Cases'!$L$6:$L$78,"Pass")</f>
        <v>9</v>
      </c>
      <c r="D20" s="5">
        <f>COUNTIFS('Core Test Cases (A1)'!$B$6:$B$30,$A20,'Core Test Cases (A1)'!$L$6:$L$30,"Fail")+COUNTIFS('Extended Test Cases'!$B$6:$B$78,$A20,'Extended Test Cases'!$L$6:$L$78,"Fail")</f>
        <v>0</v>
      </c>
      <c r="E20" s="5">
        <f>COUNTIFS('Core Test Cases (A1)'!$B$6:$B$30,$A20,'Core Test Cases (A1)'!$L$6:$L$30,"Not Run")+COUNTIFS('Extended Test Cases'!$B$6:$B$78,$A20,'Extended Test Cases'!$L$6:$L$78,"Not Run")</f>
        <v>0</v>
      </c>
    </row>
    <row r="21" spans="1:5">
      <c r="A21" s="4" t="s">
        <v>22</v>
      </c>
      <c r="B21" s="5">
        <f>COUNTIF('Core Test Cases (A1)'!$B$6:$B$30,$A21)+COUNTIF('Extended Test Cases'!$B$6:$B$78,$A21)</f>
        <v>1</v>
      </c>
      <c r="C21" s="5">
        <f>COUNTIFS('Core Test Cases (A1)'!$B$6:$B$30,$A21,'Core Test Cases (A1)'!$L$6:$L$30,"Pass")+COUNTIFS('Extended Test Cases'!$B$6:$B$78,$A21,'Extended Test Cases'!$L$6:$L$78,"Pass")</f>
        <v>1</v>
      </c>
      <c r="D21" s="5">
        <f>COUNTIFS('Core Test Cases (A1)'!$B$6:$B$30,$A21,'Core Test Cases (A1)'!$L$6:$L$30,"Fail")+COUNTIFS('Extended Test Cases'!$B$6:$B$78,$A21,'Extended Test Cases'!$L$6:$L$78,"Fail")</f>
        <v>0</v>
      </c>
      <c r="E21" s="5">
        <f>COUNTIFS('Core Test Cases (A1)'!$B$6:$B$30,$A21,'Core Test Cases (A1)'!$L$6:$L$30,"Not Run")+COUNTIFS('Extended Test Cases'!$B$6:$B$78,$A21,'Extended Test Cases'!$L$6:$L$78,"Not Run")</f>
        <v>0</v>
      </c>
    </row>
    <row r="22" spans="1:5">
      <c r="A22" s="4" t="s">
        <v>23</v>
      </c>
      <c r="B22" s="5">
        <f>COUNTIF('Core Test Cases (A1)'!$B$6:$B$30,$A22)+COUNTIF('Extended Test Cases'!$B$6:$B$78,$A22)</f>
        <v>1</v>
      </c>
      <c r="C22" s="5">
        <f>COUNTIFS('Core Test Cases (A1)'!$B$6:$B$30,$A22,'Core Test Cases (A1)'!$L$6:$L$30,"Pass")+COUNTIFS('Extended Test Cases'!$B$6:$B$78,$A22,'Extended Test Cases'!$L$6:$L$78,"Pass")</f>
        <v>1</v>
      </c>
      <c r="D22" s="5">
        <f>COUNTIFS('Core Test Cases (A1)'!$B$6:$B$30,$A22,'Core Test Cases (A1)'!$L$6:$L$30,"Fail")+COUNTIFS('Extended Test Cases'!$B$6:$B$78,$A22,'Extended Test Cases'!$L$6:$L$78,"Fail")</f>
        <v>0</v>
      </c>
      <c r="E22" s="5">
        <f>COUNTIFS('Core Test Cases (A1)'!$B$6:$B$30,$A22,'Core Test Cases (A1)'!$L$6:$L$30,"Not Run")+COUNTIFS('Extended Test Cases'!$B$6:$B$78,$A22,'Extended Test Cases'!$L$6:$L$78,"Not Run")</f>
        <v>0</v>
      </c>
    </row>
    <row r="23" spans="1:5">
      <c r="A23" s="4" t="s">
        <v>24</v>
      </c>
      <c r="B23" s="5">
        <f>COUNTIF('Core Test Cases (A1)'!$B$6:$B$30,$A23)+COUNTIF('Extended Test Cases'!$B$6:$B$78,$A23)</f>
        <v>4</v>
      </c>
      <c r="C23" s="5">
        <f>COUNTIFS('Core Test Cases (A1)'!$B$6:$B$30,$A23,'Core Test Cases (A1)'!$L$6:$L$30,"Pass")+COUNTIFS('Extended Test Cases'!$B$6:$B$78,$A23,'Extended Test Cases'!$L$6:$L$78,"Pass")</f>
        <v>0</v>
      </c>
      <c r="D23" s="5">
        <f>COUNTIFS('Core Test Cases (A1)'!$B$6:$B$30,$A23,'Core Test Cases (A1)'!$L$6:$L$30,"Fail")+COUNTIFS('Extended Test Cases'!$B$6:$B$78,$A23,'Extended Test Cases'!$L$6:$L$78,"Fail")</f>
        <v>4</v>
      </c>
      <c r="E23" s="5">
        <f>COUNTIFS('Core Test Cases (A1)'!$B$6:$B$30,$A23,'Core Test Cases (A1)'!$L$6:$L$30,"Not Run")+COUNTIFS('Extended Test Cases'!$B$6:$B$78,$A23,'Extended Test Cases'!$L$6:$L$78,"Not Run")</f>
        <v>0</v>
      </c>
    </row>
    <row r="24" spans="1:5">
      <c r="A24" s="6" t="s">
        <v>9</v>
      </c>
      <c r="B24" s="7">
        <f>SUM(B11:B23)</f>
        <v>98</v>
      </c>
      <c r="C24" s="7">
        <f>SUM(C11:C23)</f>
        <v>87</v>
      </c>
      <c r="D24" s="7">
        <f>SUM(D11:D23)</f>
        <v>11</v>
      </c>
      <c r="E24" s="7">
        <f>SUM(E11:E23)</f>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workbookViewId="0">
      <pane xSplit="4" ySplit="5" topLeftCell="E6" activePane="bottomRight" state="frozen"/>
      <selection pane="topRight"/>
      <selection pane="bottomLeft"/>
      <selection pane="bottomRight"/>
    </sheetView>
  </sheetViews>
  <sheetFormatPr defaultRowHeight="14.5"/>
  <cols>
    <col min="1" max="1" width="8" customWidth="1"/>
    <col min="2" max="2" width="14" customWidth="1"/>
    <col min="3" max="3" width="13" customWidth="1"/>
    <col min="4" max="4" width="32" customWidth="1"/>
    <col min="5" max="5" width="26" customWidth="1"/>
    <col min="6" max="6" width="50" customWidth="1"/>
    <col min="7" max="7" width="30" customWidth="1"/>
    <col min="8" max="8" width="56" customWidth="1"/>
    <col min="9" max="9" width="10" customWidth="1"/>
    <col min="10" max="10" width="34" customWidth="1"/>
    <col min="11" max="11" width="40" customWidth="1"/>
    <col min="12" max="12" width="10" customWidth="1"/>
    <col min="13" max="13" width="9" customWidth="1"/>
    <col min="14" max="14" width="36" customWidth="1"/>
  </cols>
  <sheetData>
    <row r="1" spans="1:14" ht="18.5">
      <c r="A1" s="1" t="s">
        <v>25</v>
      </c>
    </row>
    <row r="2" spans="1:14">
      <c r="A2" s="2" t="s">
        <v>26</v>
      </c>
    </row>
    <row r="3" spans="1:14">
      <c r="A3" s="2" t="s">
        <v>27</v>
      </c>
    </row>
    <row r="5" spans="1:14" ht="32" customHeight="1">
      <c r="A5" s="3" t="s">
        <v>28</v>
      </c>
      <c r="B5" s="3" t="s">
        <v>11</v>
      </c>
      <c r="C5" s="3" t="s">
        <v>29</v>
      </c>
      <c r="D5" s="3" t="s">
        <v>30</v>
      </c>
      <c r="E5" s="3" t="s">
        <v>31</v>
      </c>
      <c r="F5" s="3" t="s">
        <v>32</v>
      </c>
      <c r="G5" s="3" t="s">
        <v>33</v>
      </c>
      <c r="H5" s="3" t="s">
        <v>34</v>
      </c>
      <c r="I5" s="3" t="s">
        <v>35</v>
      </c>
      <c r="J5" s="3" t="s">
        <v>36</v>
      </c>
      <c r="K5" s="3" t="s">
        <v>37</v>
      </c>
      <c r="L5" s="3" t="s">
        <v>38</v>
      </c>
      <c r="M5" s="3" t="s">
        <v>39</v>
      </c>
      <c r="N5" s="3" t="s">
        <v>40</v>
      </c>
    </row>
    <row r="6" spans="1:14" ht="87">
      <c r="A6" s="5" t="s">
        <v>41</v>
      </c>
      <c r="B6" s="5" t="s">
        <v>12</v>
      </c>
      <c r="C6" s="5" t="s">
        <v>42</v>
      </c>
      <c r="D6" s="4" t="s">
        <v>43</v>
      </c>
      <c r="E6" s="4" t="s">
        <v>44</v>
      </c>
      <c r="F6" s="4" t="s">
        <v>45</v>
      </c>
      <c r="G6" s="4" t="s">
        <v>46</v>
      </c>
      <c r="H6" s="4" t="s">
        <v>47</v>
      </c>
      <c r="I6" s="5" t="s">
        <v>48</v>
      </c>
      <c r="J6" s="4" t="s">
        <v>49</v>
      </c>
      <c r="K6" s="4" t="s">
        <v>50</v>
      </c>
      <c r="L6" s="5" t="s">
        <v>4</v>
      </c>
      <c r="M6" s="5" t="s">
        <v>51</v>
      </c>
      <c r="N6" s="4"/>
    </row>
    <row r="7" spans="1:14" ht="87">
      <c r="A7" s="5" t="s">
        <v>52</v>
      </c>
      <c r="B7" s="5" t="s">
        <v>12</v>
      </c>
      <c r="C7" s="5" t="s">
        <v>53</v>
      </c>
      <c r="D7" s="4" t="s">
        <v>54</v>
      </c>
      <c r="E7" s="4" t="s">
        <v>44</v>
      </c>
      <c r="F7" s="4" t="s">
        <v>55</v>
      </c>
      <c r="G7" s="4" t="s">
        <v>56</v>
      </c>
      <c r="H7" s="4" t="s">
        <v>57</v>
      </c>
      <c r="I7" s="5" t="s">
        <v>48</v>
      </c>
      <c r="J7" s="4" t="s">
        <v>58</v>
      </c>
      <c r="K7" s="4" t="s">
        <v>59</v>
      </c>
      <c r="L7" s="5" t="s">
        <v>4</v>
      </c>
      <c r="M7" s="5" t="s">
        <v>51</v>
      </c>
      <c r="N7" s="4"/>
    </row>
    <row r="8" spans="1:14" ht="87">
      <c r="A8" s="5" t="s">
        <v>60</v>
      </c>
      <c r="B8" s="5" t="s">
        <v>12</v>
      </c>
      <c r="C8" s="5" t="s">
        <v>53</v>
      </c>
      <c r="D8" s="4" t="s">
        <v>61</v>
      </c>
      <c r="E8" s="4" t="s">
        <v>44</v>
      </c>
      <c r="F8" s="4" t="s">
        <v>62</v>
      </c>
      <c r="G8" s="4" t="s">
        <v>63</v>
      </c>
      <c r="H8" s="4" t="s">
        <v>64</v>
      </c>
      <c r="I8" s="5" t="s">
        <v>48</v>
      </c>
      <c r="J8" s="4" t="s">
        <v>65</v>
      </c>
      <c r="K8" s="4" t="s">
        <v>66</v>
      </c>
      <c r="L8" s="5" t="s">
        <v>4</v>
      </c>
      <c r="M8" s="5" t="s">
        <v>51</v>
      </c>
      <c r="N8" s="4"/>
    </row>
    <row r="9" spans="1:14" ht="58">
      <c r="A9" s="5" t="s">
        <v>67</v>
      </c>
      <c r="B9" s="5" t="s">
        <v>12</v>
      </c>
      <c r="C9" s="5" t="s">
        <v>68</v>
      </c>
      <c r="D9" s="4" t="s">
        <v>69</v>
      </c>
      <c r="E9" s="4" t="s">
        <v>44</v>
      </c>
      <c r="F9" s="4" t="s">
        <v>70</v>
      </c>
      <c r="G9" s="4" t="s">
        <v>71</v>
      </c>
      <c r="H9" s="4" t="s">
        <v>72</v>
      </c>
      <c r="I9" s="5" t="s">
        <v>73</v>
      </c>
      <c r="J9" s="4" t="s">
        <v>74</v>
      </c>
      <c r="K9" s="4" t="s">
        <v>75</v>
      </c>
      <c r="L9" s="5" t="s">
        <v>4</v>
      </c>
      <c r="M9" s="5" t="s">
        <v>51</v>
      </c>
      <c r="N9" s="4"/>
    </row>
    <row r="10" spans="1:14" ht="174">
      <c r="A10" s="5" t="s">
        <v>76</v>
      </c>
      <c r="B10" s="5" t="s">
        <v>14</v>
      </c>
      <c r="C10" s="5" t="s">
        <v>42</v>
      </c>
      <c r="D10" s="4" t="s">
        <v>77</v>
      </c>
      <c r="E10" s="4" t="s">
        <v>44</v>
      </c>
      <c r="F10" s="4" t="s">
        <v>78</v>
      </c>
      <c r="G10" s="4" t="s">
        <v>79</v>
      </c>
      <c r="H10" s="4" t="s">
        <v>80</v>
      </c>
      <c r="I10" s="5" t="s">
        <v>73</v>
      </c>
      <c r="J10" s="4" t="s">
        <v>81</v>
      </c>
      <c r="K10" s="4" t="s">
        <v>82</v>
      </c>
      <c r="L10" s="5" t="s">
        <v>4</v>
      </c>
      <c r="M10" s="5" t="s">
        <v>51</v>
      </c>
      <c r="N10" s="4"/>
    </row>
    <row r="11" spans="1:14" ht="174">
      <c r="A11" s="5" t="s">
        <v>83</v>
      </c>
      <c r="B11" s="5" t="s">
        <v>14</v>
      </c>
      <c r="C11" s="5" t="s">
        <v>42</v>
      </c>
      <c r="D11" s="4" t="s">
        <v>84</v>
      </c>
      <c r="E11" s="4" t="s">
        <v>44</v>
      </c>
      <c r="F11" s="4" t="s">
        <v>85</v>
      </c>
      <c r="G11" s="4" t="s">
        <v>79</v>
      </c>
      <c r="H11" s="4" t="s">
        <v>86</v>
      </c>
      <c r="I11" s="5" t="s">
        <v>73</v>
      </c>
      <c r="J11" s="4" t="s">
        <v>87</v>
      </c>
      <c r="K11" s="4" t="s">
        <v>88</v>
      </c>
      <c r="L11" s="5" t="s">
        <v>4</v>
      </c>
      <c r="M11" s="5" t="s">
        <v>51</v>
      </c>
      <c r="N11" s="4"/>
    </row>
    <row r="12" spans="1:14" ht="203">
      <c r="A12" s="5" t="s">
        <v>89</v>
      </c>
      <c r="B12" s="5" t="s">
        <v>14</v>
      </c>
      <c r="C12" s="5" t="s">
        <v>42</v>
      </c>
      <c r="D12" s="4" t="s">
        <v>90</v>
      </c>
      <c r="E12" s="4" t="s">
        <v>44</v>
      </c>
      <c r="F12" s="4" t="s">
        <v>91</v>
      </c>
      <c r="G12" s="4" t="s">
        <v>79</v>
      </c>
      <c r="H12" s="4" t="s">
        <v>92</v>
      </c>
      <c r="I12" s="5" t="s">
        <v>48</v>
      </c>
      <c r="J12" s="4" t="s">
        <v>93</v>
      </c>
      <c r="K12" s="4" t="s">
        <v>94</v>
      </c>
      <c r="L12" s="5" t="s">
        <v>4</v>
      </c>
      <c r="M12" s="5" t="s">
        <v>51</v>
      </c>
      <c r="N12" s="4"/>
    </row>
    <row r="13" spans="1:14" ht="188.5">
      <c r="A13" s="5" t="s">
        <v>95</v>
      </c>
      <c r="B13" s="5" t="s">
        <v>14</v>
      </c>
      <c r="C13" s="5" t="s">
        <v>42</v>
      </c>
      <c r="D13" s="4" t="s">
        <v>96</v>
      </c>
      <c r="E13" s="4" t="s">
        <v>44</v>
      </c>
      <c r="F13" s="4" t="s">
        <v>97</v>
      </c>
      <c r="G13" s="4" t="s">
        <v>79</v>
      </c>
      <c r="H13" s="4" t="s">
        <v>98</v>
      </c>
      <c r="I13" s="5" t="s">
        <v>73</v>
      </c>
      <c r="J13" s="4" t="s">
        <v>87</v>
      </c>
      <c r="K13" s="4" t="s">
        <v>99</v>
      </c>
      <c r="L13" s="5" t="s">
        <v>4</v>
      </c>
      <c r="M13" s="5" t="s">
        <v>51</v>
      </c>
      <c r="N13" s="4"/>
    </row>
    <row r="14" spans="1:14" ht="188.5">
      <c r="A14" s="5" t="s">
        <v>100</v>
      </c>
      <c r="B14" s="5" t="s">
        <v>16</v>
      </c>
      <c r="C14" s="5" t="s">
        <v>42</v>
      </c>
      <c r="D14" s="4" t="s">
        <v>101</v>
      </c>
      <c r="E14" s="4" t="s">
        <v>44</v>
      </c>
      <c r="F14" s="4" t="s">
        <v>102</v>
      </c>
      <c r="G14" s="4" t="s">
        <v>103</v>
      </c>
      <c r="H14" s="4" t="s">
        <v>104</v>
      </c>
      <c r="I14" s="5" t="s">
        <v>48</v>
      </c>
      <c r="J14" s="4" t="s">
        <v>105</v>
      </c>
      <c r="K14" s="4" t="s">
        <v>106</v>
      </c>
      <c r="L14" s="5" t="s">
        <v>4</v>
      </c>
      <c r="M14" s="5" t="s">
        <v>51</v>
      </c>
      <c r="N14" s="4"/>
    </row>
    <row r="15" spans="1:14" ht="159.5">
      <c r="A15" s="5" t="s">
        <v>107</v>
      </c>
      <c r="B15" s="5" t="s">
        <v>16</v>
      </c>
      <c r="C15" s="5" t="s">
        <v>42</v>
      </c>
      <c r="D15" s="4" t="s">
        <v>108</v>
      </c>
      <c r="E15" s="4" t="s">
        <v>44</v>
      </c>
      <c r="F15" s="4" t="s">
        <v>109</v>
      </c>
      <c r="G15" s="4" t="s">
        <v>110</v>
      </c>
      <c r="H15" s="4" t="s">
        <v>111</v>
      </c>
      <c r="I15" s="5" t="s">
        <v>48</v>
      </c>
      <c r="J15" s="4" t="s">
        <v>112</v>
      </c>
      <c r="K15" s="4" t="s">
        <v>113</v>
      </c>
      <c r="L15" s="5" t="s">
        <v>4</v>
      </c>
      <c r="M15" s="5" t="s">
        <v>51</v>
      </c>
      <c r="N15" s="4"/>
    </row>
    <row r="16" spans="1:14" ht="116">
      <c r="A16" s="5" t="s">
        <v>114</v>
      </c>
      <c r="B16" s="5" t="s">
        <v>16</v>
      </c>
      <c r="C16" s="5" t="s">
        <v>42</v>
      </c>
      <c r="D16" s="4" t="s">
        <v>115</v>
      </c>
      <c r="E16" s="4" t="s">
        <v>44</v>
      </c>
      <c r="F16" s="4" t="s">
        <v>116</v>
      </c>
      <c r="G16" s="4" t="s">
        <v>117</v>
      </c>
      <c r="H16" s="4" t="s">
        <v>118</v>
      </c>
      <c r="I16" s="5" t="s">
        <v>73</v>
      </c>
      <c r="J16" s="4" t="s">
        <v>119</v>
      </c>
      <c r="K16" s="4" t="s">
        <v>120</v>
      </c>
      <c r="L16" s="5" t="s">
        <v>4</v>
      </c>
      <c r="M16" s="5" t="s">
        <v>51</v>
      </c>
      <c r="N16" s="4"/>
    </row>
    <row r="17" spans="1:14" ht="275.5">
      <c r="A17" s="5" t="s">
        <v>121</v>
      </c>
      <c r="B17" s="5" t="s">
        <v>17</v>
      </c>
      <c r="C17" s="5" t="s">
        <v>42</v>
      </c>
      <c r="D17" s="4" t="s">
        <v>122</v>
      </c>
      <c r="E17" s="4" t="s">
        <v>44</v>
      </c>
      <c r="F17" s="4" t="s">
        <v>123</v>
      </c>
      <c r="G17" s="4" t="s">
        <v>124</v>
      </c>
      <c r="H17" s="4" t="s">
        <v>125</v>
      </c>
      <c r="I17" s="5" t="s">
        <v>48</v>
      </c>
      <c r="J17" s="4" t="s">
        <v>126</v>
      </c>
      <c r="K17" s="4" t="s">
        <v>127</v>
      </c>
      <c r="L17" s="5" t="s">
        <v>4</v>
      </c>
      <c r="M17" s="5" t="s">
        <v>51</v>
      </c>
      <c r="N17" s="4"/>
    </row>
    <row r="18" spans="1:14" ht="174">
      <c r="A18" s="5" t="s">
        <v>128</v>
      </c>
      <c r="B18" s="5" t="s">
        <v>17</v>
      </c>
      <c r="C18" s="5" t="s">
        <v>53</v>
      </c>
      <c r="D18" s="4" t="s">
        <v>129</v>
      </c>
      <c r="E18" s="4" t="s">
        <v>44</v>
      </c>
      <c r="F18" s="4" t="s">
        <v>130</v>
      </c>
      <c r="G18" s="4" t="s">
        <v>131</v>
      </c>
      <c r="H18" s="4" t="s">
        <v>132</v>
      </c>
      <c r="I18" s="5" t="s">
        <v>48</v>
      </c>
      <c r="J18" s="4" t="s">
        <v>133</v>
      </c>
      <c r="K18" s="4" t="s">
        <v>134</v>
      </c>
      <c r="L18" s="5" t="s">
        <v>4</v>
      </c>
      <c r="M18" s="5" t="s">
        <v>51</v>
      </c>
      <c r="N18" s="4"/>
    </row>
    <row r="19" spans="1:14" ht="159.5">
      <c r="A19" s="5" t="s">
        <v>135</v>
      </c>
      <c r="B19" s="5" t="s">
        <v>17</v>
      </c>
      <c r="C19" s="5" t="s">
        <v>53</v>
      </c>
      <c r="D19" s="4" t="s">
        <v>136</v>
      </c>
      <c r="E19" s="4" t="s">
        <v>44</v>
      </c>
      <c r="F19" s="4" t="s">
        <v>137</v>
      </c>
      <c r="G19" s="4" t="s">
        <v>138</v>
      </c>
      <c r="H19" s="4" t="s">
        <v>139</v>
      </c>
      <c r="I19" s="5" t="s">
        <v>48</v>
      </c>
      <c r="J19" s="4" t="s">
        <v>140</v>
      </c>
      <c r="K19" s="4" t="s">
        <v>141</v>
      </c>
      <c r="L19" s="5" t="s">
        <v>4</v>
      </c>
      <c r="M19" s="5" t="s">
        <v>51</v>
      </c>
      <c r="N19" s="4"/>
    </row>
    <row r="20" spans="1:14" ht="159.5">
      <c r="A20" s="5" t="s">
        <v>142</v>
      </c>
      <c r="B20" s="5" t="s">
        <v>17</v>
      </c>
      <c r="C20" s="5" t="s">
        <v>53</v>
      </c>
      <c r="D20" s="4" t="s">
        <v>143</v>
      </c>
      <c r="E20" s="4" t="s">
        <v>44</v>
      </c>
      <c r="F20" s="4" t="s">
        <v>144</v>
      </c>
      <c r="G20" s="4" t="s">
        <v>145</v>
      </c>
      <c r="H20" s="4" t="s">
        <v>146</v>
      </c>
      <c r="I20" s="5" t="s">
        <v>48</v>
      </c>
      <c r="J20" s="4" t="s">
        <v>147</v>
      </c>
      <c r="K20" s="4" t="s">
        <v>148</v>
      </c>
      <c r="L20" s="5" t="s">
        <v>4</v>
      </c>
      <c r="M20" s="5" t="s">
        <v>51</v>
      </c>
      <c r="N20" s="4"/>
    </row>
    <row r="21" spans="1:14" ht="174">
      <c r="A21" s="5" t="s">
        <v>149</v>
      </c>
      <c r="B21" s="5" t="s">
        <v>17</v>
      </c>
      <c r="C21" s="5" t="s">
        <v>42</v>
      </c>
      <c r="D21" s="4" t="s">
        <v>150</v>
      </c>
      <c r="E21" s="4" t="s">
        <v>44</v>
      </c>
      <c r="F21" s="4" t="s">
        <v>151</v>
      </c>
      <c r="G21" s="4" t="s">
        <v>152</v>
      </c>
      <c r="H21" s="4" t="s">
        <v>153</v>
      </c>
      <c r="I21" s="5" t="s">
        <v>73</v>
      </c>
      <c r="J21" s="4" t="s">
        <v>154</v>
      </c>
      <c r="K21" s="4" t="s">
        <v>155</v>
      </c>
      <c r="L21" s="5" t="s">
        <v>4</v>
      </c>
      <c r="M21" s="5" t="s">
        <v>51</v>
      </c>
      <c r="N21" s="4"/>
    </row>
    <row r="22" spans="1:14" ht="203">
      <c r="A22" s="5" t="s">
        <v>156</v>
      </c>
      <c r="B22" s="5" t="s">
        <v>17</v>
      </c>
      <c r="C22" s="5" t="s">
        <v>42</v>
      </c>
      <c r="D22" s="4" t="s">
        <v>157</v>
      </c>
      <c r="E22" s="4" t="s">
        <v>44</v>
      </c>
      <c r="F22" s="4" t="s">
        <v>158</v>
      </c>
      <c r="G22" s="4" t="s">
        <v>159</v>
      </c>
      <c r="H22" s="4" t="s">
        <v>160</v>
      </c>
      <c r="I22" s="5" t="s">
        <v>73</v>
      </c>
      <c r="J22" s="4" t="s">
        <v>154</v>
      </c>
      <c r="K22" s="4" t="s">
        <v>161</v>
      </c>
      <c r="L22" s="5" t="s">
        <v>4</v>
      </c>
      <c r="M22" s="5" t="s">
        <v>51</v>
      </c>
      <c r="N22" s="4"/>
    </row>
    <row r="23" spans="1:14" ht="203">
      <c r="A23" s="5" t="s">
        <v>162</v>
      </c>
      <c r="B23" s="5" t="s">
        <v>18</v>
      </c>
      <c r="C23" s="5" t="s">
        <v>163</v>
      </c>
      <c r="D23" s="4" t="s">
        <v>164</v>
      </c>
      <c r="E23" s="4" t="s">
        <v>44</v>
      </c>
      <c r="F23" s="4" t="s">
        <v>165</v>
      </c>
      <c r="G23" s="4" t="s">
        <v>166</v>
      </c>
      <c r="H23" s="4" t="s">
        <v>167</v>
      </c>
      <c r="I23" s="5" t="s">
        <v>48</v>
      </c>
      <c r="J23" s="4" t="s">
        <v>168</v>
      </c>
      <c r="K23" s="4" t="s">
        <v>169</v>
      </c>
      <c r="L23" s="5" t="s">
        <v>4</v>
      </c>
      <c r="M23" s="5" t="s">
        <v>51</v>
      </c>
      <c r="N23" s="4"/>
    </row>
    <row r="24" spans="1:14" ht="145">
      <c r="A24" s="5" t="s">
        <v>170</v>
      </c>
      <c r="B24" s="5" t="s">
        <v>19</v>
      </c>
      <c r="C24" s="5" t="s">
        <v>53</v>
      </c>
      <c r="D24" s="4" t="s">
        <v>171</v>
      </c>
      <c r="E24" s="4" t="s">
        <v>44</v>
      </c>
      <c r="F24" s="4" t="s">
        <v>172</v>
      </c>
      <c r="G24" s="4" t="s">
        <v>173</v>
      </c>
      <c r="H24" s="4" t="s">
        <v>174</v>
      </c>
      <c r="I24" s="5" t="s">
        <v>48</v>
      </c>
      <c r="J24" s="4" t="s">
        <v>175</v>
      </c>
      <c r="K24" s="4" t="s">
        <v>176</v>
      </c>
      <c r="L24" s="5" t="s">
        <v>4</v>
      </c>
      <c r="M24" s="5" t="s">
        <v>51</v>
      </c>
      <c r="N24" s="4" t="s">
        <v>177</v>
      </c>
    </row>
    <row r="25" spans="1:14" ht="130.5">
      <c r="A25" s="5" t="s">
        <v>178</v>
      </c>
      <c r="B25" s="5" t="s">
        <v>17</v>
      </c>
      <c r="C25" s="5" t="s">
        <v>179</v>
      </c>
      <c r="D25" s="4" t="s">
        <v>180</v>
      </c>
      <c r="E25" s="4" t="s">
        <v>44</v>
      </c>
      <c r="F25" s="4" t="s">
        <v>181</v>
      </c>
      <c r="G25" s="4" t="s">
        <v>182</v>
      </c>
      <c r="H25" s="4" t="s">
        <v>183</v>
      </c>
      <c r="I25" s="5" t="s">
        <v>184</v>
      </c>
      <c r="J25" s="4" t="s">
        <v>185</v>
      </c>
      <c r="K25" s="4" t="s">
        <v>186</v>
      </c>
      <c r="L25" s="5" t="s">
        <v>4</v>
      </c>
      <c r="M25" s="5" t="s">
        <v>51</v>
      </c>
      <c r="N25" s="4"/>
    </row>
    <row r="26" spans="1:14" ht="145">
      <c r="A26" s="5" t="s">
        <v>187</v>
      </c>
      <c r="B26" s="5" t="s">
        <v>21</v>
      </c>
      <c r="C26" s="5" t="s">
        <v>188</v>
      </c>
      <c r="D26" s="4" t="s">
        <v>189</v>
      </c>
      <c r="E26" s="4" t="s">
        <v>44</v>
      </c>
      <c r="F26" s="4" t="s">
        <v>190</v>
      </c>
      <c r="G26" s="4" t="s">
        <v>191</v>
      </c>
      <c r="H26" s="4" t="s">
        <v>192</v>
      </c>
      <c r="I26" s="5" t="s">
        <v>48</v>
      </c>
      <c r="J26" s="4" t="s">
        <v>193</v>
      </c>
      <c r="K26" s="4" t="s">
        <v>194</v>
      </c>
      <c r="L26" s="5" t="s">
        <v>4</v>
      </c>
      <c r="M26" s="5" t="s">
        <v>51</v>
      </c>
      <c r="N26" s="4"/>
    </row>
    <row r="27" spans="1:14" ht="72.5">
      <c r="A27" s="5" t="s">
        <v>195</v>
      </c>
      <c r="B27" s="5" t="s">
        <v>21</v>
      </c>
      <c r="C27" s="5" t="s">
        <v>188</v>
      </c>
      <c r="D27" s="4" t="s">
        <v>196</v>
      </c>
      <c r="E27" s="4" t="s">
        <v>197</v>
      </c>
      <c r="F27" s="4" t="s">
        <v>198</v>
      </c>
      <c r="G27" s="4" t="s">
        <v>199</v>
      </c>
      <c r="H27" s="4" t="s">
        <v>200</v>
      </c>
      <c r="I27" s="5" t="s">
        <v>48</v>
      </c>
      <c r="J27" s="4" t="s">
        <v>201</v>
      </c>
      <c r="K27" s="4" t="s">
        <v>202</v>
      </c>
      <c r="L27" s="5" t="s">
        <v>4</v>
      </c>
      <c r="M27" s="5" t="s">
        <v>51</v>
      </c>
      <c r="N27" s="4"/>
    </row>
    <row r="28" spans="1:14" ht="87">
      <c r="A28" s="5" t="s">
        <v>203</v>
      </c>
      <c r="B28" s="5" t="s">
        <v>22</v>
      </c>
      <c r="C28" s="5" t="s">
        <v>22</v>
      </c>
      <c r="D28" s="4" t="s">
        <v>204</v>
      </c>
      <c r="E28" s="4" t="s">
        <v>44</v>
      </c>
      <c r="F28" s="4" t="s">
        <v>205</v>
      </c>
      <c r="G28" s="4" t="s">
        <v>206</v>
      </c>
      <c r="H28" s="4" t="s">
        <v>207</v>
      </c>
      <c r="I28" s="5" t="s">
        <v>73</v>
      </c>
      <c r="J28" s="4" t="s">
        <v>208</v>
      </c>
      <c r="K28" s="4" t="s">
        <v>209</v>
      </c>
      <c r="L28" s="5" t="s">
        <v>4</v>
      </c>
      <c r="M28" s="5" t="s">
        <v>51</v>
      </c>
      <c r="N28" s="4" t="s">
        <v>210</v>
      </c>
    </row>
    <row r="29" spans="1:14" ht="58">
      <c r="A29" s="5" t="s">
        <v>211</v>
      </c>
      <c r="B29" s="5" t="s">
        <v>23</v>
      </c>
      <c r="C29" s="5" t="s">
        <v>212</v>
      </c>
      <c r="D29" s="4" t="s">
        <v>213</v>
      </c>
      <c r="E29" s="4" t="s">
        <v>44</v>
      </c>
      <c r="F29" s="4" t="s">
        <v>214</v>
      </c>
      <c r="G29" s="4" t="s">
        <v>215</v>
      </c>
      <c r="H29" s="4" t="s">
        <v>216</v>
      </c>
      <c r="I29" s="5" t="s">
        <v>184</v>
      </c>
      <c r="J29" s="4" t="s">
        <v>217</v>
      </c>
      <c r="K29" s="4" t="s">
        <v>218</v>
      </c>
      <c r="L29" s="5" t="s">
        <v>4</v>
      </c>
      <c r="M29" s="5" t="s">
        <v>51</v>
      </c>
      <c r="N29" s="4" t="s">
        <v>219</v>
      </c>
    </row>
    <row r="30" spans="1:14" ht="101.5">
      <c r="A30" s="5" t="s">
        <v>220</v>
      </c>
      <c r="B30" s="5" t="s">
        <v>14</v>
      </c>
      <c r="C30" s="5" t="s">
        <v>42</v>
      </c>
      <c r="D30" s="4" t="s">
        <v>221</v>
      </c>
      <c r="E30" s="4" t="s">
        <v>44</v>
      </c>
      <c r="F30" s="4" t="s">
        <v>222</v>
      </c>
      <c r="G30" s="4" t="s">
        <v>223</v>
      </c>
      <c r="H30" s="4" t="s">
        <v>224</v>
      </c>
      <c r="I30" s="5" t="s">
        <v>48</v>
      </c>
      <c r="J30" s="4" t="s">
        <v>225</v>
      </c>
      <c r="K30" s="4" t="s">
        <v>226</v>
      </c>
      <c r="L30" s="5" t="s">
        <v>5</v>
      </c>
      <c r="M30" s="5" t="s">
        <v>227</v>
      </c>
      <c r="N30" s="4"/>
    </row>
  </sheetData>
  <autoFilter ref="A5:N30" xr:uid="{00000000-0009-0000-0000-000001000000}"/>
  <dataValidations count="1">
    <dataValidation type="list" sqref="L6:L30" xr:uid="{00000000-0002-0000-0100-000000000000}">
      <formula1>"Pass,Fail,Not Run,Blocked"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8"/>
  <sheetViews>
    <sheetView workbookViewId="0">
      <pane xSplit="4" ySplit="5" topLeftCell="E6" activePane="bottomRight" state="frozen"/>
      <selection pane="topRight"/>
      <selection pane="bottomLeft"/>
      <selection pane="bottomRight"/>
    </sheetView>
  </sheetViews>
  <sheetFormatPr defaultRowHeight="14.5"/>
  <cols>
    <col min="1" max="1" width="8" customWidth="1"/>
    <col min="2" max="2" width="14" customWidth="1"/>
    <col min="3" max="3" width="13" customWidth="1"/>
    <col min="4" max="4" width="32" customWidth="1"/>
    <col min="5" max="5" width="26" customWidth="1"/>
    <col min="6" max="6" width="50" customWidth="1"/>
    <col min="7" max="7" width="30" customWidth="1"/>
    <col min="8" max="8" width="56" customWidth="1"/>
    <col min="9" max="9" width="10" customWidth="1"/>
    <col min="10" max="10" width="34" customWidth="1"/>
    <col min="11" max="11" width="40" customWidth="1"/>
    <col min="12" max="12" width="10" customWidth="1"/>
    <col min="13" max="13" width="9" customWidth="1"/>
    <col min="14" max="14" width="36" customWidth="1"/>
  </cols>
  <sheetData>
    <row r="1" spans="1:14" ht="18.5">
      <c r="A1" s="1" t="s">
        <v>228</v>
      </c>
    </row>
    <row r="2" spans="1:14">
      <c r="A2" s="2" t="s">
        <v>229</v>
      </c>
    </row>
    <row r="3" spans="1:14">
      <c r="A3" s="2" t="s">
        <v>27</v>
      </c>
    </row>
    <row r="5" spans="1:14" ht="32" customHeight="1">
      <c r="A5" s="3" t="s">
        <v>28</v>
      </c>
      <c r="B5" s="3" t="s">
        <v>11</v>
      </c>
      <c r="C5" s="3" t="s">
        <v>29</v>
      </c>
      <c r="D5" s="3" t="s">
        <v>30</v>
      </c>
      <c r="E5" s="3" t="s">
        <v>31</v>
      </c>
      <c r="F5" s="3" t="s">
        <v>32</v>
      </c>
      <c r="G5" s="3" t="s">
        <v>33</v>
      </c>
      <c r="H5" s="3" t="s">
        <v>34</v>
      </c>
      <c r="I5" s="3" t="s">
        <v>35</v>
      </c>
      <c r="J5" s="3" t="s">
        <v>36</v>
      </c>
      <c r="K5" s="3" t="s">
        <v>37</v>
      </c>
      <c r="L5" s="3" t="s">
        <v>38</v>
      </c>
      <c r="M5" s="3" t="s">
        <v>39</v>
      </c>
      <c r="N5" s="3" t="s">
        <v>40</v>
      </c>
    </row>
    <row r="6" spans="1:14" ht="58">
      <c r="A6" s="5" t="s">
        <v>230</v>
      </c>
      <c r="B6" s="5" t="s">
        <v>12</v>
      </c>
      <c r="C6" s="5" t="s">
        <v>42</v>
      </c>
      <c r="D6" s="4" t="s">
        <v>231</v>
      </c>
      <c r="E6" s="4" t="s">
        <v>44</v>
      </c>
      <c r="F6" s="4" t="s">
        <v>232</v>
      </c>
      <c r="G6" s="4" t="s">
        <v>233</v>
      </c>
      <c r="H6" s="4" t="s">
        <v>234</v>
      </c>
      <c r="I6" s="5" t="s">
        <v>184</v>
      </c>
      <c r="J6" s="4" t="s">
        <v>235</v>
      </c>
      <c r="K6" s="4" t="s">
        <v>236</v>
      </c>
      <c r="L6" s="5" t="s">
        <v>4</v>
      </c>
      <c r="M6" s="5" t="s">
        <v>51</v>
      </c>
      <c r="N6" s="4"/>
    </row>
    <row r="7" spans="1:14" ht="58">
      <c r="A7" s="5" t="s">
        <v>237</v>
      </c>
      <c r="B7" s="5" t="s">
        <v>12</v>
      </c>
      <c r="C7" s="5" t="s">
        <v>42</v>
      </c>
      <c r="D7" s="4" t="s">
        <v>238</v>
      </c>
      <c r="E7" s="4" t="s">
        <v>44</v>
      </c>
      <c r="F7" s="4" t="s">
        <v>239</v>
      </c>
      <c r="G7" s="4" t="s">
        <v>240</v>
      </c>
      <c r="H7" s="4" t="s">
        <v>241</v>
      </c>
      <c r="I7" s="5" t="s">
        <v>73</v>
      </c>
      <c r="J7" s="4" t="s">
        <v>235</v>
      </c>
      <c r="K7" s="4" t="s">
        <v>242</v>
      </c>
      <c r="L7" s="5" t="s">
        <v>4</v>
      </c>
      <c r="M7" s="5" t="s">
        <v>51</v>
      </c>
      <c r="N7" s="4"/>
    </row>
    <row r="8" spans="1:14" ht="58">
      <c r="A8" s="5" t="s">
        <v>243</v>
      </c>
      <c r="B8" s="5" t="s">
        <v>12</v>
      </c>
      <c r="C8" s="5" t="s">
        <v>42</v>
      </c>
      <c r="D8" s="4" t="s">
        <v>244</v>
      </c>
      <c r="E8" s="4" t="s">
        <v>44</v>
      </c>
      <c r="F8" s="4" t="s">
        <v>245</v>
      </c>
      <c r="G8" s="4" t="s">
        <v>246</v>
      </c>
      <c r="H8" s="4" t="s">
        <v>247</v>
      </c>
      <c r="I8" s="5" t="s">
        <v>184</v>
      </c>
      <c r="J8" s="4" t="s">
        <v>235</v>
      </c>
      <c r="K8" s="4" t="s">
        <v>248</v>
      </c>
      <c r="L8" s="5" t="s">
        <v>4</v>
      </c>
      <c r="M8" s="5" t="s">
        <v>249</v>
      </c>
      <c r="N8" s="4" t="s">
        <v>250</v>
      </c>
    </row>
    <row r="9" spans="1:14" ht="72.5">
      <c r="A9" s="5" t="s">
        <v>251</v>
      </c>
      <c r="B9" s="5" t="s">
        <v>12</v>
      </c>
      <c r="C9" s="5" t="s">
        <v>42</v>
      </c>
      <c r="D9" s="4" t="s">
        <v>252</v>
      </c>
      <c r="E9" s="4" t="s">
        <v>44</v>
      </c>
      <c r="F9" s="4" t="s">
        <v>253</v>
      </c>
      <c r="G9" s="4" t="s">
        <v>254</v>
      </c>
      <c r="H9" s="4" t="s">
        <v>255</v>
      </c>
      <c r="I9" s="5" t="s">
        <v>73</v>
      </c>
      <c r="J9" s="4" t="s">
        <v>235</v>
      </c>
      <c r="K9" s="4" t="s">
        <v>256</v>
      </c>
      <c r="L9" s="5" t="s">
        <v>4</v>
      </c>
      <c r="M9" s="5" t="s">
        <v>51</v>
      </c>
      <c r="N9" s="4"/>
    </row>
    <row r="10" spans="1:14" ht="72.5">
      <c r="A10" s="5" t="s">
        <v>257</v>
      </c>
      <c r="B10" s="5" t="s">
        <v>12</v>
      </c>
      <c r="C10" s="5" t="s">
        <v>42</v>
      </c>
      <c r="D10" s="4" t="s">
        <v>258</v>
      </c>
      <c r="E10" s="4" t="s">
        <v>44</v>
      </c>
      <c r="F10" s="4" t="s">
        <v>259</v>
      </c>
      <c r="G10" s="4" t="s">
        <v>260</v>
      </c>
      <c r="H10" s="4" t="s">
        <v>255</v>
      </c>
      <c r="I10" s="5" t="s">
        <v>73</v>
      </c>
      <c r="J10" s="4" t="s">
        <v>235</v>
      </c>
      <c r="K10" s="4" t="s">
        <v>256</v>
      </c>
      <c r="L10" s="5" t="s">
        <v>4</v>
      </c>
      <c r="M10" s="5" t="s">
        <v>51</v>
      </c>
      <c r="N10" s="4"/>
    </row>
    <row r="11" spans="1:14" ht="72.5">
      <c r="A11" s="5" t="s">
        <v>261</v>
      </c>
      <c r="B11" s="5" t="s">
        <v>12</v>
      </c>
      <c r="C11" s="5" t="s">
        <v>42</v>
      </c>
      <c r="D11" s="4" t="s">
        <v>262</v>
      </c>
      <c r="E11" s="4" t="s">
        <v>44</v>
      </c>
      <c r="F11" s="4" t="s">
        <v>263</v>
      </c>
      <c r="G11" s="4" t="s">
        <v>264</v>
      </c>
      <c r="H11" s="4" t="s">
        <v>255</v>
      </c>
      <c r="I11" s="5" t="s">
        <v>73</v>
      </c>
      <c r="J11" s="4" t="s">
        <v>235</v>
      </c>
      <c r="K11" s="4" t="s">
        <v>256</v>
      </c>
      <c r="L11" s="5" t="s">
        <v>4</v>
      </c>
      <c r="M11" s="5" t="s">
        <v>51</v>
      </c>
      <c r="N11" s="4"/>
    </row>
    <row r="12" spans="1:14" ht="101.5">
      <c r="A12" s="5" t="s">
        <v>265</v>
      </c>
      <c r="B12" s="5" t="s">
        <v>12</v>
      </c>
      <c r="C12" s="5" t="s">
        <v>42</v>
      </c>
      <c r="D12" s="4" t="s">
        <v>266</v>
      </c>
      <c r="E12" s="4" t="s">
        <v>44</v>
      </c>
      <c r="F12" s="4" t="s">
        <v>267</v>
      </c>
      <c r="G12" s="4" t="s">
        <v>268</v>
      </c>
      <c r="H12" s="4" t="s">
        <v>269</v>
      </c>
      <c r="I12" s="5" t="s">
        <v>184</v>
      </c>
      <c r="J12" s="4" t="s">
        <v>235</v>
      </c>
      <c r="K12" s="4" t="s">
        <v>270</v>
      </c>
      <c r="L12" s="5" t="s">
        <v>4</v>
      </c>
      <c r="M12" s="5" t="s">
        <v>51</v>
      </c>
      <c r="N12" s="4"/>
    </row>
    <row r="13" spans="1:14" ht="101.5">
      <c r="A13" s="5" t="s">
        <v>271</v>
      </c>
      <c r="B13" s="5" t="s">
        <v>12</v>
      </c>
      <c r="C13" s="5" t="s">
        <v>53</v>
      </c>
      <c r="D13" s="4" t="s">
        <v>272</v>
      </c>
      <c r="E13" s="4" t="s">
        <v>44</v>
      </c>
      <c r="F13" s="4" t="s">
        <v>273</v>
      </c>
      <c r="G13" s="4" t="s">
        <v>274</v>
      </c>
      <c r="H13" s="4" t="s">
        <v>275</v>
      </c>
      <c r="I13" s="5" t="s">
        <v>48</v>
      </c>
      <c r="J13" s="4" t="s">
        <v>235</v>
      </c>
      <c r="K13" s="4" t="s">
        <v>276</v>
      </c>
      <c r="L13" s="5" t="s">
        <v>4</v>
      </c>
      <c r="M13" s="5" t="s">
        <v>51</v>
      </c>
      <c r="N13" s="4"/>
    </row>
    <row r="14" spans="1:14" ht="58">
      <c r="A14" s="5" t="s">
        <v>277</v>
      </c>
      <c r="B14" s="5" t="s">
        <v>12</v>
      </c>
      <c r="C14" s="5" t="s">
        <v>53</v>
      </c>
      <c r="D14" s="4" t="s">
        <v>278</v>
      </c>
      <c r="E14" s="4" t="s">
        <v>44</v>
      </c>
      <c r="F14" s="4" t="s">
        <v>279</v>
      </c>
      <c r="G14" s="4" t="s">
        <v>280</v>
      </c>
      <c r="H14" s="4" t="s">
        <v>281</v>
      </c>
      <c r="I14" s="5" t="s">
        <v>73</v>
      </c>
      <c r="J14" s="4" t="s">
        <v>235</v>
      </c>
      <c r="K14" s="4" t="s">
        <v>75</v>
      </c>
      <c r="L14" s="5" t="s">
        <v>4</v>
      </c>
      <c r="M14" s="5" t="s">
        <v>51</v>
      </c>
      <c r="N14" s="4"/>
    </row>
    <row r="15" spans="1:14" ht="58">
      <c r="A15" s="5" t="s">
        <v>282</v>
      </c>
      <c r="B15" s="5" t="s">
        <v>12</v>
      </c>
      <c r="C15" s="5" t="s">
        <v>53</v>
      </c>
      <c r="D15" s="4" t="s">
        <v>283</v>
      </c>
      <c r="E15" s="4" t="s">
        <v>44</v>
      </c>
      <c r="F15" s="4" t="s">
        <v>284</v>
      </c>
      <c r="G15" s="4" t="s">
        <v>285</v>
      </c>
      <c r="H15" s="4" t="s">
        <v>286</v>
      </c>
      <c r="I15" s="5" t="s">
        <v>73</v>
      </c>
      <c r="J15" s="4" t="s">
        <v>235</v>
      </c>
      <c r="K15" s="4" t="s">
        <v>287</v>
      </c>
      <c r="L15" s="5" t="s">
        <v>4</v>
      </c>
      <c r="M15" s="5" t="s">
        <v>51</v>
      </c>
      <c r="N15" s="4"/>
    </row>
    <row r="16" spans="1:14" ht="58">
      <c r="A16" s="5" t="s">
        <v>288</v>
      </c>
      <c r="B16" s="5" t="s">
        <v>12</v>
      </c>
      <c r="C16" s="5" t="s">
        <v>53</v>
      </c>
      <c r="D16" s="4" t="s">
        <v>289</v>
      </c>
      <c r="E16" s="4" t="s">
        <v>44</v>
      </c>
      <c r="F16" s="4" t="s">
        <v>290</v>
      </c>
      <c r="G16" s="4" t="s">
        <v>291</v>
      </c>
      <c r="H16" s="4" t="s">
        <v>292</v>
      </c>
      <c r="I16" s="5" t="s">
        <v>73</v>
      </c>
      <c r="J16" s="4" t="s">
        <v>235</v>
      </c>
      <c r="K16" s="4" t="s">
        <v>293</v>
      </c>
      <c r="L16" s="5" t="s">
        <v>4</v>
      </c>
      <c r="M16" s="5" t="s">
        <v>51</v>
      </c>
      <c r="N16" s="4" t="s">
        <v>294</v>
      </c>
    </row>
    <row r="17" spans="1:14" ht="58">
      <c r="A17" s="5" t="s">
        <v>295</v>
      </c>
      <c r="B17" s="5" t="s">
        <v>12</v>
      </c>
      <c r="C17" s="5" t="s">
        <v>53</v>
      </c>
      <c r="D17" s="4" t="s">
        <v>296</v>
      </c>
      <c r="E17" s="4" t="s">
        <v>44</v>
      </c>
      <c r="F17" s="4" t="s">
        <v>297</v>
      </c>
      <c r="G17" s="4" t="s">
        <v>298</v>
      </c>
      <c r="H17" s="4" t="s">
        <v>292</v>
      </c>
      <c r="I17" s="5" t="s">
        <v>184</v>
      </c>
      <c r="J17" s="4" t="s">
        <v>235</v>
      </c>
      <c r="K17" s="4" t="s">
        <v>293</v>
      </c>
      <c r="L17" s="5" t="s">
        <v>4</v>
      </c>
      <c r="M17" s="5" t="s">
        <v>51</v>
      </c>
      <c r="N17" s="4" t="s">
        <v>299</v>
      </c>
    </row>
    <row r="18" spans="1:14" ht="58">
      <c r="A18" s="5" t="s">
        <v>300</v>
      </c>
      <c r="B18" s="5" t="s">
        <v>12</v>
      </c>
      <c r="C18" s="5" t="s">
        <v>53</v>
      </c>
      <c r="D18" s="4" t="s">
        <v>301</v>
      </c>
      <c r="E18" s="4" t="s">
        <v>44</v>
      </c>
      <c r="F18" s="4" t="s">
        <v>302</v>
      </c>
      <c r="G18" s="4" t="s">
        <v>303</v>
      </c>
      <c r="H18" s="4" t="s">
        <v>292</v>
      </c>
      <c r="I18" s="5" t="s">
        <v>73</v>
      </c>
      <c r="J18" s="4" t="s">
        <v>235</v>
      </c>
      <c r="K18" s="4" t="s">
        <v>293</v>
      </c>
      <c r="L18" s="5" t="s">
        <v>4</v>
      </c>
      <c r="M18" s="5" t="s">
        <v>51</v>
      </c>
      <c r="N18" s="4"/>
    </row>
    <row r="19" spans="1:14" ht="58">
      <c r="A19" s="5" t="s">
        <v>304</v>
      </c>
      <c r="B19" s="5" t="s">
        <v>12</v>
      </c>
      <c r="C19" s="5" t="s">
        <v>53</v>
      </c>
      <c r="D19" s="4" t="s">
        <v>305</v>
      </c>
      <c r="E19" s="4" t="s">
        <v>44</v>
      </c>
      <c r="F19" s="4" t="s">
        <v>306</v>
      </c>
      <c r="G19" s="4" t="s">
        <v>307</v>
      </c>
      <c r="H19" s="4" t="s">
        <v>308</v>
      </c>
      <c r="I19" s="5" t="s">
        <v>73</v>
      </c>
      <c r="J19" s="4" t="s">
        <v>235</v>
      </c>
      <c r="K19" s="4" t="s">
        <v>309</v>
      </c>
      <c r="L19" s="5" t="s">
        <v>4</v>
      </c>
      <c r="M19" s="5" t="s">
        <v>51</v>
      </c>
      <c r="N19" s="4" t="s">
        <v>310</v>
      </c>
    </row>
    <row r="20" spans="1:14" ht="72.5">
      <c r="A20" s="5" t="s">
        <v>311</v>
      </c>
      <c r="B20" s="5" t="s">
        <v>12</v>
      </c>
      <c r="C20" s="5" t="s">
        <v>312</v>
      </c>
      <c r="D20" s="4" t="s">
        <v>313</v>
      </c>
      <c r="E20" s="4" t="s">
        <v>44</v>
      </c>
      <c r="F20" s="4" t="s">
        <v>314</v>
      </c>
      <c r="G20" s="4" t="s">
        <v>315</v>
      </c>
      <c r="H20" s="4" t="s">
        <v>316</v>
      </c>
      <c r="I20" s="5" t="s">
        <v>184</v>
      </c>
      <c r="J20" s="4" t="s">
        <v>235</v>
      </c>
      <c r="K20" s="4" t="s">
        <v>317</v>
      </c>
      <c r="L20" s="5" t="s">
        <v>4</v>
      </c>
      <c r="M20" s="5" t="s">
        <v>51</v>
      </c>
      <c r="N20" s="4"/>
    </row>
    <row r="21" spans="1:14" ht="101.5">
      <c r="A21" s="5" t="s">
        <v>318</v>
      </c>
      <c r="B21" s="5" t="s">
        <v>13</v>
      </c>
      <c r="C21" s="5" t="s">
        <v>42</v>
      </c>
      <c r="D21" s="4" t="s">
        <v>319</v>
      </c>
      <c r="E21" s="4" t="s">
        <v>44</v>
      </c>
      <c r="F21" s="4" t="s">
        <v>320</v>
      </c>
      <c r="G21" s="4" t="s">
        <v>321</v>
      </c>
      <c r="H21" s="4" t="s">
        <v>322</v>
      </c>
      <c r="I21" s="5" t="s">
        <v>48</v>
      </c>
      <c r="J21" s="4" t="s">
        <v>323</v>
      </c>
      <c r="K21" s="4" t="s">
        <v>324</v>
      </c>
      <c r="L21" s="5" t="s">
        <v>4</v>
      </c>
      <c r="M21" s="5" t="s">
        <v>51</v>
      </c>
      <c r="N21" s="4"/>
    </row>
    <row r="22" spans="1:14" ht="101.5">
      <c r="A22" s="5" t="s">
        <v>325</v>
      </c>
      <c r="B22" s="5" t="s">
        <v>13</v>
      </c>
      <c r="C22" s="5" t="s">
        <v>42</v>
      </c>
      <c r="D22" s="4" t="s">
        <v>326</v>
      </c>
      <c r="E22" s="4" t="s">
        <v>44</v>
      </c>
      <c r="F22" s="4" t="s">
        <v>327</v>
      </c>
      <c r="G22" s="4" t="s">
        <v>321</v>
      </c>
      <c r="H22" s="4" t="s">
        <v>328</v>
      </c>
      <c r="I22" s="5" t="s">
        <v>73</v>
      </c>
      <c r="J22" s="4" t="s">
        <v>323</v>
      </c>
      <c r="K22" s="4" t="s">
        <v>329</v>
      </c>
      <c r="L22" s="5" t="s">
        <v>4</v>
      </c>
      <c r="M22" s="5" t="s">
        <v>51</v>
      </c>
      <c r="N22" s="4"/>
    </row>
    <row r="23" spans="1:14" ht="130.5">
      <c r="A23" s="5" t="s">
        <v>330</v>
      </c>
      <c r="B23" s="5" t="s">
        <v>13</v>
      </c>
      <c r="C23" s="5" t="s">
        <v>42</v>
      </c>
      <c r="D23" s="4" t="s">
        <v>331</v>
      </c>
      <c r="E23" s="4" t="s">
        <v>44</v>
      </c>
      <c r="F23" s="4" t="s">
        <v>332</v>
      </c>
      <c r="G23" s="4" t="s">
        <v>333</v>
      </c>
      <c r="H23" s="4" t="s">
        <v>334</v>
      </c>
      <c r="I23" s="5" t="s">
        <v>73</v>
      </c>
      <c r="J23" s="4" t="s">
        <v>323</v>
      </c>
      <c r="K23" s="4" t="s">
        <v>335</v>
      </c>
      <c r="L23" s="5" t="s">
        <v>4</v>
      </c>
      <c r="M23" s="5" t="s">
        <v>51</v>
      </c>
      <c r="N23" s="4"/>
    </row>
    <row r="24" spans="1:14" ht="87">
      <c r="A24" s="5" t="s">
        <v>336</v>
      </c>
      <c r="B24" s="5" t="s">
        <v>13</v>
      </c>
      <c r="C24" s="5" t="s">
        <v>42</v>
      </c>
      <c r="D24" s="4" t="s">
        <v>337</v>
      </c>
      <c r="E24" s="4" t="s">
        <v>44</v>
      </c>
      <c r="F24" s="4" t="s">
        <v>338</v>
      </c>
      <c r="G24" s="4" t="s">
        <v>339</v>
      </c>
      <c r="H24" s="4" t="s">
        <v>340</v>
      </c>
      <c r="I24" s="5" t="s">
        <v>73</v>
      </c>
      <c r="J24" s="4" t="s">
        <v>323</v>
      </c>
      <c r="K24" s="4" t="s">
        <v>341</v>
      </c>
      <c r="L24" s="5" t="s">
        <v>4</v>
      </c>
      <c r="M24" s="5" t="s">
        <v>51</v>
      </c>
      <c r="N24" s="4"/>
    </row>
    <row r="25" spans="1:14" ht="87">
      <c r="A25" s="5" t="s">
        <v>342</v>
      </c>
      <c r="B25" s="5" t="s">
        <v>13</v>
      </c>
      <c r="C25" s="5" t="s">
        <v>42</v>
      </c>
      <c r="D25" s="4" t="s">
        <v>343</v>
      </c>
      <c r="E25" s="4" t="s">
        <v>44</v>
      </c>
      <c r="F25" s="4" t="s">
        <v>344</v>
      </c>
      <c r="G25" s="4" t="s">
        <v>321</v>
      </c>
      <c r="H25" s="4" t="s">
        <v>345</v>
      </c>
      <c r="I25" s="5" t="s">
        <v>73</v>
      </c>
      <c r="J25" s="4" t="s">
        <v>323</v>
      </c>
      <c r="K25" s="4" t="s">
        <v>346</v>
      </c>
      <c r="L25" s="5" t="s">
        <v>4</v>
      </c>
      <c r="M25" s="5" t="s">
        <v>51</v>
      </c>
      <c r="N25" s="4"/>
    </row>
    <row r="26" spans="1:14" ht="116">
      <c r="A26" s="5" t="s">
        <v>347</v>
      </c>
      <c r="B26" s="5" t="s">
        <v>13</v>
      </c>
      <c r="C26" s="5" t="s">
        <v>42</v>
      </c>
      <c r="D26" s="4" t="s">
        <v>348</v>
      </c>
      <c r="E26" s="4" t="s">
        <v>44</v>
      </c>
      <c r="F26" s="4" t="s">
        <v>349</v>
      </c>
      <c r="G26" s="4" t="s">
        <v>350</v>
      </c>
      <c r="H26" s="4" t="s">
        <v>351</v>
      </c>
      <c r="I26" s="5" t="s">
        <v>184</v>
      </c>
      <c r="J26" s="4" t="s">
        <v>323</v>
      </c>
      <c r="K26" s="4" t="s">
        <v>352</v>
      </c>
      <c r="L26" s="5" t="s">
        <v>4</v>
      </c>
      <c r="M26" s="5" t="s">
        <v>51</v>
      </c>
      <c r="N26" s="4" t="s">
        <v>353</v>
      </c>
    </row>
    <row r="27" spans="1:14" ht="130.5">
      <c r="A27" s="5" t="s">
        <v>354</v>
      </c>
      <c r="B27" s="5" t="s">
        <v>14</v>
      </c>
      <c r="C27" s="5" t="s">
        <v>42</v>
      </c>
      <c r="D27" s="4" t="s">
        <v>355</v>
      </c>
      <c r="E27" s="4" t="s">
        <v>44</v>
      </c>
      <c r="F27" s="4" t="s">
        <v>356</v>
      </c>
      <c r="G27" s="4" t="s">
        <v>357</v>
      </c>
      <c r="H27" s="4" t="s">
        <v>358</v>
      </c>
      <c r="I27" s="5" t="s">
        <v>73</v>
      </c>
      <c r="J27" s="4" t="s">
        <v>359</v>
      </c>
      <c r="K27" s="4" t="s">
        <v>360</v>
      </c>
      <c r="L27" s="5" t="s">
        <v>4</v>
      </c>
      <c r="M27" s="5" t="s">
        <v>51</v>
      </c>
      <c r="N27" s="4"/>
    </row>
    <row r="28" spans="1:14" ht="116">
      <c r="A28" s="5" t="s">
        <v>361</v>
      </c>
      <c r="B28" s="5" t="s">
        <v>14</v>
      </c>
      <c r="C28" s="5" t="s">
        <v>42</v>
      </c>
      <c r="D28" s="4" t="s">
        <v>362</v>
      </c>
      <c r="E28" s="4" t="s">
        <v>44</v>
      </c>
      <c r="F28" s="4" t="s">
        <v>363</v>
      </c>
      <c r="G28" s="4" t="s">
        <v>364</v>
      </c>
      <c r="H28" s="4" t="s">
        <v>365</v>
      </c>
      <c r="I28" s="5" t="s">
        <v>184</v>
      </c>
      <c r="J28" s="4" t="s">
        <v>359</v>
      </c>
      <c r="K28" s="4" t="s">
        <v>366</v>
      </c>
      <c r="L28" s="5" t="s">
        <v>4</v>
      </c>
      <c r="M28" s="5" t="s">
        <v>51</v>
      </c>
      <c r="N28" s="4"/>
    </row>
    <row r="29" spans="1:14" ht="101.5">
      <c r="A29" s="5" t="s">
        <v>367</v>
      </c>
      <c r="B29" s="5" t="s">
        <v>15</v>
      </c>
      <c r="C29" s="5" t="s">
        <v>42</v>
      </c>
      <c r="D29" s="4" t="s">
        <v>368</v>
      </c>
      <c r="E29" s="4" t="s">
        <v>44</v>
      </c>
      <c r="F29" s="4" t="s">
        <v>369</v>
      </c>
      <c r="G29" s="4" t="s">
        <v>333</v>
      </c>
      <c r="H29" s="4" t="s">
        <v>370</v>
      </c>
      <c r="I29" s="5" t="s">
        <v>48</v>
      </c>
      <c r="J29" s="4" t="s">
        <v>323</v>
      </c>
      <c r="K29" s="4" t="s">
        <v>371</v>
      </c>
      <c r="L29" s="5" t="s">
        <v>4</v>
      </c>
      <c r="M29" s="5" t="s">
        <v>51</v>
      </c>
      <c r="N29" s="4"/>
    </row>
    <row r="30" spans="1:14" ht="101.5">
      <c r="A30" s="5" t="s">
        <v>372</v>
      </c>
      <c r="B30" s="5" t="s">
        <v>15</v>
      </c>
      <c r="C30" s="5" t="s">
        <v>42</v>
      </c>
      <c r="D30" s="4" t="s">
        <v>373</v>
      </c>
      <c r="E30" s="4" t="s">
        <v>44</v>
      </c>
      <c r="F30" s="4" t="s">
        <v>374</v>
      </c>
      <c r="G30" s="4" t="s">
        <v>333</v>
      </c>
      <c r="H30" s="4" t="s">
        <v>375</v>
      </c>
      <c r="I30" s="5" t="s">
        <v>73</v>
      </c>
      <c r="J30" s="4" t="s">
        <v>323</v>
      </c>
      <c r="K30" s="4" t="s">
        <v>376</v>
      </c>
      <c r="L30" s="5" t="s">
        <v>4</v>
      </c>
      <c r="M30" s="5" t="s">
        <v>51</v>
      </c>
      <c r="N30" s="4"/>
    </row>
    <row r="31" spans="1:14" ht="116">
      <c r="A31" s="5" t="s">
        <v>377</v>
      </c>
      <c r="B31" s="5" t="s">
        <v>15</v>
      </c>
      <c r="C31" s="5" t="s">
        <v>42</v>
      </c>
      <c r="D31" s="4" t="s">
        <v>378</v>
      </c>
      <c r="E31" s="4" t="s">
        <v>44</v>
      </c>
      <c r="F31" s="4" t="s">
        <v>379</v>
      </c>
      <c r="G31" s="4" t="s">
        <v>333</v>
      </c>
      <c r="H31" s="4" t="s">
        <v>380</v>
      </c>
      <c r="I31" s="5" t="s">
        <v>73</v>
      </c>
      <c r="J31" s="4" t="s">
        <v>323</v>
      </c>
      <c r="K31" s="4" t="s">
        <v>381</v>
      </c>
      <c r="L31" s="5" t="s">
        <v>4</v>
      </c>
      <c r="M31" s="5" t="s">
        <v>51</v>
      </c>
      <c r="N31" s="4"/>
    </row>
    <row r="32" spans="1:14" ht="101.5">
      <c r="A32" s="5" t="s">
        <v>382</v>
      </c>
      <c r="B32" s="5" t="s">
        <v>15</v>
      </c>
      <c r="C32" s="5" t="s">
        <v>53</v>
      </c>
      <c r="D32" s="4" t="s">
        <v>383</v>
      </c>
      <c r="E32" s="4" t="s">
        <v>44</v>
      </c>
      <c r="F32" s="4" t="s">
        <v>384</v>
      </c>
      <c r="G32" s="4" t="s">
        <v>385</v>
      </c>
      <c r="H32" s="4" t="s">
        <v>386</v>
      </c>
      <c r="I32" s="5" t="s">
        <v>184</v>
      </c>
      <c r="J32" s="4" t="s">
        <v>323</v>
      </c>
      <c r="K32" s="4" t="s">
        <v>387</v>
      </c>
      <c r="L32" s="5" t="s">
        <v>4</v>
      </c>
      <c r="M32" s="5" t="s">
        <v>51</v>
      </c>
      <c r="N32" s="4"/>
    </row>
    <row r="33" spans="1:14" ht="101.5">
      <c r="A33" s="5" t="s">
        <v>388</v>
      </c>
      <c r="B33" s="5" t="s">
        <v>15</v>
      </c>
      <c r="C33" s="5" t="s">
        <v>53</v>
      </c>
      <c r="D33" s="4" t="s">
        <v>389</v>
      </c>
      <c r="E33" s="4" t="s">
        <v>44</v>
      </c>
      <c r="F33" s="4" t="s">
        <v>390</v>
      </c>
      <c r="G33" s="4" t="s">
        <v>391</v>
      </c>
      <c r="H33" s="4" t="s">
        <v>392</v>
      </c>
      <c r="I33" s="5" t="s">
        <v>184</v>
      </c>
      <c r="J33" s="4" t="s">
        <v>323</v>
      </c>
      <c r="K33" s="4" t="s">
        <v>387</v>
      </c>
      <c r="L33" s="5" t="s">
        <v>4</v>
      </c>
      <c r="M33" s="5" t="s">
        <v>51</v>
      </c>
      <c r="N33" s="4"/>
    </row>
    <row r="34" spans="1:14" ht="116">
      <c r="A34" s="5" t="s">
        <v>393</v>
      </c>
      <c r="B34" s="5" t="s">
        <v>16</v>
      </c>
      <c r="C34" s="5" t="s">
        <v>42</v>
      </c>
      <c r="D34" s="4" t="s">
        <v>394</v>
      </c>
      <c r="E34" s="4" t="s">
        <v>44</v>
      </c>
      <c r="F34" s="4" t="s">
        <v>395</v>
      </c>
      <c r="G34" s="4" t="s">
        <v>396</v>
      </c>
      <c r="H34" s="4" t="s">
        <v>397</v>
      </c>
      <c r="I34" s="5" t="s">
        <v>48</v>
      </c>
      <c r="J34" s="4" t="s">
        <v>398</v>
      </c>
      <c r="K34" s="4" t="s">
        <v>399</v>
      </c>
      <c r="L34" s="5" t="s">
        <v>4</v>
      </c>
      <c r="M34" s="5" t="s">
        <v>51</v>
      </c>
      <c r="N34" s="4"/>
    </row>
    <row r="35" spans="1:14" ht="116">
      <c r="A35" s="5" t="s">
        <v>400</v>
      </c>
      <c r="B35" s="5" t="s">
        <v>16</v>
      </c>
      <c r="C35" s="5" t="s">
        <v>42</v>
      </c>
      <c r="D35" s="4" t="s">
        <v>401</v>
      </c>
      <c r="E35" s="4" t="s">
        <v>44</v>
      </c>
      <c r="F35" s="4" t="s">
        <v>402</v>
      </c>
      <c r="G35" s="4" t="s">
        <v>403</v>
      </c>
      <c r="H35" s="4" t="s">
        <v>404</v>
      </c>
      <c r="I35" s="5" t="s">
        <v>48</v>
      </c>
      <c r="J35" s="4" t="s">
        <v>398</v>
      </c>
      <c r="K35" s="4" t="s">
        <v>405</v>
      </c>
      <c r="L35" s="5" t="s">
        <v>4</v>
      </c>
      <c r="M35" s="5" t="s">
        <v>51</v>
      </c>
      <c r="N35" s="4"/>
    </row>
    <row r="36" spans="1:14" ht="116">
      <c r="A36" s="5" t="s">
        <v>406</v>
      </c>
      <c r="B36" s="5" t="s">
        <v>16</v>
      </c>
      <c r="C36" s="5" t="s">
        <v>42</v>
      </c>
      <c r="D36" s="4" t="s">
        <v>407</v>
      </c>
      <c r="E36" s="4" t="s">
        <v>44</v>
      </c>
      <c r="F36" s="4" t="s">
        <v>408</v>
      </c>
      <c r="G36" s="4" t="s">
        <v>403</v>
      </c>
      <c r="H36" s="4" t="s">
        <v>409</v>
      </c>
      <c r="I36" s="5" t="s">
        <v>48</v>
      </c>
      <c r="J36" s="4" t="s">
        <v>398</v>
      </c>
      <c r="K36" s="4" t="s">
        <v>410</v>
      </c>
      <c r="L36" s="5" t="s">
        <v>4</v>
      </c>
      <c r="M36" s="5" t="s">
        <v>51</v>
      </c>
      <c r="N36" s="4"/>
    </row>
    <row r="37" spans="1:14" ht="116">
      <c r="A37" s="5" t="s">
        <v>411</v>
      </c>
      <c r="B37" s="5" t="s">
        <v>16</v>
      </c>
      <c r="C37" s="5" t="s">
        <v>42</v>
      </c>
      <c r="D37" s="4" t="s">
        <v>412</v>
      </c>
      <c r="E37" s="4" t="s">
        <v>44</v>
      </c>
      <c r="F37" s="4" t="s">
        <v>413</v>
      </c>
      <c r="G37" s="4" t="s">
        <v>173</v>
      </c>
      <c r="H37" s="4" t="s">
        <v>414</v>
      </c>
      <c r="I37" s="5" t="s">
        <v>73</v>
      </c>
      <c r="J37" s="4" t="s">
        <v>398</v>
      </c>
      <c r="K37" s="4" t="s">
        <v>415</v>
      </c>
      <c r="L37" s="5" t="s">
        <v>4</v>
      </c>
      <c r="M37" s="5" t="s">
        <v>51</v>
      </c>
      <c r="N37" s="4"/>
    </row>
    <row r="38" spans="1:14" ht="101.5">
      <c r="A38" s="5" t="s">
        <v>416</v>
      </c>
      <c r="B38" s="5" t="s">
        <v>16</v>
      </c>
      <c r="C38" s="5" t="s">
        <v>42</v>
      </c>
      <c r="D38" s="4" t="s">
        <v>417</v>
      </c>
      <c r="E38" s="4" t="s">
        <v>44</v>
      </c>
      <c r="F38" s="4" t="s">
        <v>418</v>
      </c>
      <c r="G38" s="4" t="s">
        <v>173</v>
      </c>
      <c r="H38" s="4" t="s">
        <v>419</v>
      </c>
      <c r="I38" s="5" t="s">
        <v>184</v>
      </c>
      <c r="J38" s="4" t="s">
        <v>398</v>
      </c>
      <c r="K38" s="4" t="s">
        <v>420</v>
      </c>
      <c r="L38" s="5" t="s">
        <v>4</v>
      </c>
      <c r="M38" s="5" t="s">
        <v>51</v>
      </c>
      <c r="N38" s="4"/>
    </row>
    <row r="39" spans="1:14" ht="116">
      <c r="A39" s="5" t="s">
        <v>421</v>
      </c>
      <c r="B39" s="5" t="s">
        <v>16</v>
      </c>
      <c r="C39" s="5" t="s">
        <v>42</v>
      </c>
      <c r="D39" s="4" t="s">
        <v>422</v>
      </c>
      <c r="E39" s="4" t="s">
        <v>44</v>
      </c>
      <c r="F39" s="4" t="s">
        <v>423</v>
      </c>
      <c r="G39" s="4" t="s">
        <v>424</v>
      </c>
      <c r="H39" s="4" t="s">
        <v>425</v>
      </c>
      <c r="I39" s="5" t="s">
        <v>73</v>
      </c>
      <c r="J39" s="4" t="s">
        <v>398</v>
      </c>
      <c r="K39" s="4" t="s">
        <v>426</v>
      </c>
      <c r="L39" s="5" t="s">
        <v>4</v>
      </c>
      <c r="M39" s="5" t="s">
        <v>51</v>
      </c>
      <c r="N39" s="4" t="s">
        <v>427</v>
      </c>
    </row>
    <row r="40" spans="1:14" ht="116">
      <c r="A40" s="5" t="s">
        <v>428</v>
      </c>
      <c r="B40" s="5" t="s">
        <v>16</v>
      </c>
      <c r="C40" s="5" t="s">
        <v>53</v>
      </c>
      <c r="D40" s="4" t="s">
        <v>429</v>
      </c>
      <c r="E40" s="4" t="s">
        <v>44</v>
      </c>
      <c r="F40" s="4" t="s">
        <v>430</v>
      </c>
      <c r="G40" s="4" t="s">
        <v>431</v>
      </c>
      <c r="H40" s="4" t="s">
        <v>432</v>
      </c>
      <c r="I40" s="5" t="s">
        <v>48</v>
      </c>
      <c r="J40" s="4" t="s">
        <v>398</v>
      </c>
      <c r="K40" s="4" t="s">
        <v>433</v>
      </c>
      <c r="L40" s="5" t="s">
        <v>5</v>
      </c>
      <c r="M40" s="5" t="s">
        <v>434</v>
      </c>
      <c r="N40" s="4" t="s">
        <v>435</v>
      </c>
    </row>
    <row r="41" spans="1:14" ht="116">
      <c r="A41" s="5" t="s">
        <v>436</v>
      </c>
      <c r="B41" s="5" t="s">
        <v>16</v>
      </c>
      <c r="C41" s="5" t="s">
        <v>312</v>
      </c>
      <c r="D41" s="4" t="s">
        <v>437</v>
      </c>
      <c r="E41" s="4" t="s">
        <v>44</v>
      </c>
      <c r="F41" s="4" t="s">
        <v>438</v>
      </c>
      <c r="G41" s="4" t="s">
        <v>439</v>
      </c>
      <c r="H41" s="4" t="s">
        <v>440</v>
      </c>
      <c r="I41" s="5" t="s">
        <v>73</v>
      </c>
      <c r="J41" s="4" t="s">
        <v>398</v>
      </c>
      <c r="K41" s="4" t="s">
        <v>441</v>
      </c>
      <c r="L41" s="5" t="s">
        <v>4</v>
      </c>
      <c r="M41" s="5" t="s">
        <v>51</v>
      </c>
      <c r="N41" s="4"/>
    </row>
    <row r="42" spans="1:14" ht="116">
      <c r="A42" s="5" t="s">
        <v>442</v>
      </c>
      <c r="B42" s="5" t="s">
        <v>16</v>
      </c>
      <c r="C42" s="5" t="s">
        <v>312</v>
      </c>
      <c r="D42" s="4" t="s">
        <v>443</v>
      </c>
      <c r="E42" s="4" t="s">
        <v>44</v>
      </c>
      <c r="F42" s="4" t="s">
        <v>444</v>
      </c>
      <c r="G42" s="4" t="s">
        <v>403</v>
      </c>
      <c r="H42" s="4" t="s">
        <v>445</v>
      </c>
      <c r="I42" s="5" t="s">
        <v>73</v>
      </c>
      <c r="J42" s="4" t="s">
        <v>398</v>
      </c>
      <c r="K42" s="4" t="s">
        <v>446</v>
      </c>
      <c r="L42" s="5" t="s">
        <v>4</v>
      </c>
      <c r="M42" s="5" t="s">
        <v>51</v>
      </c>
      <c r="N42" s="4"/>
    </row>
    <row r="43" spans="1:14" ht="130.5">
      <c r="A43" s="5" t="s">
        <v>447</v>
      </c>
      <c r="B43" s="5" t="s">
        <v>17</v>
      </c>
      <c r="C43" s="5" t="s">
        <v>42</v>
      </c>
      <c r="D43" s="4" t="s">
        <v>448</v>
      </c>
      <c r="E43" s="4" t="s">
        <v>44</v>
      </c>
      <c r="F43" s="4" t="s">
        <v>449</v>
      </c>
      <c r="G43" s="4" t="s">
        <v>450</v>
      </c>
      <c r="H43" s="4" t="s">
        <v>451</v>
      </c>
      <c r="I43" s="5" t="s">
        <v>73</v>
      </c>
      <c r="J43" s="4" t="s">
        <v>452</v>
      </c>
      <c r="K43" s="4" t="s">
        <v>453</v>
      </c>
      <c r="L43" s="5" t="s">
        <v>4</v>
      </c>
      <c r="M43" s="5" t="s">
        <v>51</v>
      </c>
      <c r="N43" s="4"/>
    </row>
    <row r="44" spans="1:14" ht="130.5">
      <c r="A44" s="5" t="s">
        <v>454</v>
      </c>
      <c r="B44" s="5" t="s">
        <v>17</v>
      </c>
      <c r="C44" s="5" t="s">
        <v>42</v>
      </c>
      <c r="D44" s="4" t="s">
        <v>455</v>
      </c>
      <c r="E44" s="4" t="s">
        <v>44</v>
      </c>
      <c r="F44" s="4" t="s">
        <v>456</v>
      </c>
      <c r="G44" s="4" t="s">
        <v>457</v>
      </c>
      <c r="H44" s="4" t="s">
        <v>451</v>
      </c>
      <c r="I44" s="5" t="s">
        <v>184</v>
      </c>
      <c r="J44" s="4" t="s">
        <v>452</v>
      </c>
      <c r="K44" s="4" t="s">
        <v>458</v>
      </c>
      <c r="L44" s="5" t="s">
        <v>4</v>
      </c>
      <c r="M44" s="5" t="s">
        <v>51</v>
      </c>
      <c r="N44" s="4" t="s">
        <v>459</v>
      </c>
    </row>
    <row r="45" spans="1:14" ht="130.5">
      <c r="A45" s="5" t="s">
        <v>460</v>
      </c>
      <c r="B45" s="5" t="s">
        <v>17</v>
      </c>
      <c r="C45" s="5" t="s">
        <v>42</v>
      </c>
      <c r="D45" s="4" t="s">
        <v>461</v>
      </c>
      <c r="E45" s="4" t="s">
        <v>44</v>
      </c>
      <c r="F45" s="4" t="s">
        <v>462</v>
      </c>
      <c r="G45" s="4" t="s">
        <v>463</v>
      </c>
      <c r="H45" s="4" t="s">
        <v>464</v>
      </c>
      <c r="I45" s="5" t="s">
        <v>184</v>
      </c>
      <c r="J45" s="4" t="s">
        <v>452</v>
      </c>
      <c r="K45" s="4" t="s">
        <v>465</v>
      </c>
      <c r="L45" s="5" t="s">
        <v>4</v>
      </c>
      <c r="M45" s="5" t="s">
        <v>51</v>
      </c>
      <c r="N45" s="4"/>
    </row>
    <row r="46" spans="1:14" ht="159.5">
      <c r="A46" s="5" t="s">
        <v>466</v>
      </c>
      <c r="B46" s="5" t="s">
        <v>17</v>
      </c>
      <c r="C46" s="5" t="s">
        <v>42</v>
      </c>
      <c r="D46" s="4" t="s">
        <v>467</v>
      </c>
      <c r="E46" s="4" t="s">
        <v>44</v>
      </c>
      <c r="F46" s="4" t="s">
        <v>468</v>
      </c>
      <c r="G46" s="4" t="s">
        <v>173</v>
      </c>
      <c r="H46" s="4" t="s">
        <v>469</v>
      </c>
      <c r="I46" s="5" t="s">
        <v>184</v>
      </c>
      <c r="J46" s="4" t="s">
        <v>452</v>
      </c>
      <c r="K46" s="4" t="s">
        <v>470</v>
      </c>
      <c r="L46" s="5" t="s">
        <v>4</v>
      </c>
      <c r="M46" s="5" t="s">
        <v>51</v>
      </c>
      <c r="N46" s="4"/>
    </row>
    <row r="47" spans="1:14" ht="145">
      <c r="A47" s="5" t="s">
        <v>471</v>
      </c>
      <c r="B47" s="5" t="s">
        <v>17</v>
      </c>
      <c r="C47" s="5" t="s">
        <v>42</v>
      </c>
      <c r="D47" s="4" t="s">
        <v>472</v>
      </c>
      <c r="E47" s="4" t="s">
        <v>44</v>
      </c>
      <c r="F47" s="4" t="s">
        <v>473</v>
      </c>
      <c r="G47" s="4" t="s">
        <v>173</v>
      </c>
      <c r="H47" s="4" t="s">
        <v>474</v>
      </c>
      <c r="I47" s="5" t="s">
        <v>73</v>
      </c>
      <c r="J47" s="4" t="s">
        <v>452</v>
      </c>
      <c r="K47" s="4" t="s">
        <v>475</v>
      </c>
      <c r="L47" s="5" t="s">
        <v>4</v>
      </c>
      <c r="M47" s="5" t="s">
        <v>51</v>
      </c>
      <c r="N47" s="4"/>
    </row>
    <row r="48" spans="1:14" ht="159.5">
      <c r="A48" s="5" t="s">
        <v>476</v>
      </c>
      <c r="B48" s="5" t="s">
        <v>17</v>
      </c>
      <c r="C48" s="5" t="s">
        <v>42</v>
      </c>
      <c r="D48" s="4" t="s">
        <v>477</v>
      </c>
      <c r="E48" s="4" t="s">
        <v>44</v>
      </c>
      <c r="F48" s="4" t="s">
        <v>478</v>
      </c>
      <c r="G48" s="4" t="s">
        <v>173</v>
      </c>
      <c r="H48" s="4" t="s">
        <v>479</v>
      </c>
      <c r="I48" s="5" t="s">
        <v>184</v>
      </c>
      <c r="J48" s="4" t="s">
        <v>452</v>
      </c>
      <c r="K48" s="4" t="s">
        <v>480</v>
      </c>
      <c r="L48" s="5" t="s">
        <v>4</v>
      </c>
      <c r="M48" s="5" t="s">
        <v>51</v>
      </c>
      <c r="N48" s="4" t="s">
        <v>481</v>
      </c>
    </row>
    <row r="49" spans="1:14" ht="130.5">
      <c r="A49" s="5" t="s">
        <v>482</v>
      </c>
      <c r="B49" s="5" t="s">
        <v>17</v>
      </c>
      <c r="C49" s="5" t="s">
        <v>53</v>
      </c>
      <c r="D49" s="4" t="s">
        <v>483</v>
      </c>
      <c r="E49" s="4" t="s">
        <v>44</v>
      </c>
      <c r="F49" s="4" t="s">
        <v>484</v>
      </c>
      <c r="G49" s="4" t="s">
        <v>485</v>
      </c>
      <c r="H49" s="4" t="s">
        <v>486</v>
      </c>
      <c r="I49" s="5" t="s">
        <v>73</v>
      </c>
      <c r="J49" s="4" t="s">
        <v>452</v>
      </c>
      <c r="K49" s="4" t="s">
        <v>487</v>
      </c>
      <c r="L49" s="5" t="s">
        <v>4</v>
      </c>
      <c r="M49" s="5" t="s">
        <v>51</v>
      </c>
      <c r="N49" s="4"/>
    </row>
    <row r="50" spans="1:14" ht="116">
      <c r="A50" s="5" t="s">
        <v>488</v>
      </c>
      <c r="B50" s="5" t="s">
        <v>17</v>
      </c>
      <c r="C50" s="5" t="s">
        <v>53</v>
      </c>
      <c r="D50" s="4" t="s">
        <v>489</v>
      </c>
      <c r="E50" s="4" t="s">
        <v>44</v>
      </c>
      <c r="F50" s="4" t="s">
        <v>490</v>
      </c>
      <c r="G50" s="4" t="s">
        <v>491</v>
      </c>
      <c r="H50" s="4" t="s">
        <v>492</v>
      </c>
      <c r="I50" s="5" t="s">
        <v>73</v>
      </c>
      <c r="J50" s="4" t="s">
        <v>452</v>
      </c>
      <c r="K50" s="4" t="s">
        <v>493</v>
      </c>
      <c r="L50" s="5" t="s">
        <v>5</v>
      </c>
      <c r="M50" s="5" t="s">
        <v>494</v>
      </c>
      <c r="N50" s="4" t="s">
        <v>495</v>
      </c>
    </row>
    <row r="51" spans="1:14" ht="116">
      <c r="A51" s="5" t="s">
        <v>496</v>
      </c>
      <c r="B51" s="5" t="s">
        <v>17</v>
      </c>
      <c r="C51" s="5" t="s">
        <v>53</v>
      </c>
      <c r="D51" s="4" t="s">
        <v>497</v>
      </c>
      <c r="E51" s="4" t="s">
        <v>44</v>
      </c>
      <c r="F51" s="4" t="s">
        <v>498</v>
      </c>
      <c r="G51" s="4" t="s">
        <v>499</v>
      </c>
      <c r="H51" s="4" t="s">
        <v>500</v>
      </c>
      <c r="I51" s="5" t="s">
        <v>73</v>
      </c>
      <c r="J51" s="4" t="s">
        <v>452</v>
      </c>
      <c r="K51" s="4" t="s">
        <v>501</v>
      </c>
      <c r="L51" s="5" t="s">
        <v>4</v>
      </c>
      <c r="M51" s="5" t="s">
        <v>51</v>
      </c>
      <c r="N51" s="4" t="s">
        <v>310</v>
      </c>
    </row>
    <row r="52" spans="1:14" ht="101.5">
      <c r="A52" s="5" t="s">
        <v>502</v>
      </c>
      <c r="B52" s="5" t="s">
        <v>17</v>
      </c>
      <c r="C52" s="5" t="s">
        <v>53</v>
      </c>
      <c r="D52" s="4" t="s">
        <v>503</v>
      </c>
      <c r="E52" s="4" t="s">
        <v>44</v>
      </c>
      <c r="F52" s="4" t="s">
        <v>504</v>
      </c>
      <c r="G52" s="4" t="s">
        <v>505</v>
      </c>
      <c r="H52" s="4" t="s">
        <v>506</v>
      </c>
      <c r="I52" s="5" t="s">
        <v>73</v>
      </c>
      <c r="J52" s="4" t="s">
        <v>452</v>
      </c>
      <c r="K52" s="4" t="s">
        <v>507</v>
      </c>
      <c r="L52" s="5" t="s">
        <v>5</v>
      </c>
      <c r="M52" s="5" t="s">
        <v>508</v>
      </c>
      <c r="N52" s="4" t="s">
        <v>509</v>
      </c>
    </row>
    <row r="53" spans="1:14" ht="101.5">
      <c r="A53" s="5" t="s">
        <v>510</v>
      </c>
      <c r="B53" s="5" t="s">
        <v>17</v>
      </c>
      <c r="C53" s="5" t="s">
        <v>53</v>
      </c>
      <c r="D53" s="4" t="s">
        <v>511</v>
      </c>
      <c r="E53" s="4" t="s">
        <v>44</v>
      </c>
      <c r="F53" s="4" t="s">
        <v>512</v>
      </c>
      <c r="G53" s="4" t="s">
        <v>513</v>
      </c>
      <c r="H53" s="4" t="s">
        <v>514</v>
      </c>
      <c r="I53" s="5" t="s">
        <v>73</v>
      </c>
      <c r="J53" s="4" t="s">
        <v>452</v>
      </c>
      <c r="K53" s="4" t="s">
        <v>515</v>
      </c>
      <c r="L53" s="5" t="s">
        <v>5</v>
      </c>
      <c r="M53" s="5" t="s">
        <v>508</v>
      </c>
      <c r="N53" s="4" t="s">
        <v>516</v>
      </c>
    </row>
    <row r="54" spans="1:14" ht="130.5">
      <c r="A54" s="5" t="s">
        <v>517</v>
      </c>
      <c r="B54" s="5" t="s">
        <v>17</v>
      </c>
      <c r="C54" s="5" t="s">
        <v>312</v>
      </c>
      <c r="D54" s="4" t="s">
        <v>518</v>
      </c>
      <c r="E54" s="4" t="s">
        <v>44</v>
      </c>
      <c r="F54" s="4" t="s">
        <v>519</v>
      </c>
      <c r="G54" s="4" t="s">
        <v>520</v>
      </c>
      <c r="H54" s="4" t="s">
        <v>521</v>
      </c>
      <c r="I54" s="5" t="s">
        <v>184</v>
      </c>
      <c r="J54" s="4" t="s">
        <v>452</v>
      </c>
      <c r="K54" s="4" t="s">
        <v>522</v>
      </c>
      <c r="L54" s="5" t="s">
        <v>4</v>
      </c>
      <c r="M54" s="5" t="s">
        <v>51</v>
      </c>
      <c r="N54" s="4" t="s">
        <v>523</v>
      </c>
    </row>
    <row r="55" spans="1:14" ht="188.5">
      <c r="A55" s="5" t="s">
        <v>524</v>
      </c>
      <c r="B55" s="5" t="s">
        <v>18</v>
      </c>
      <c r="C55" s="5" t="s">
        <v>42</v>
      </c>
      <c r="D55" s="4" t="s">
        <v>525</v>
      </c>
      <c r="E55" s="4" t="s">
        <v>44</v>
      </c>
      <c r="F55" s="4" t="s">
        <v>526</v>
      </c>
      <c r="G55" s="4" t="s">
        <v>527</v>
      </c>
      <c r="H55" s="4" t="s">
        <v>528</v>
      </c>
      <c r="I55" s="5" t="s">
        <v>48</v>
      </c>
      <c r="J55" s="4" t="s">
        <v>529</v>
      </c>
      <c r="K55" s="4" t="s">
        <v>530</v>
      </c>
      <c r="L55" s="5" t="s">
        <v>4</v>
      </c>
      <c r="M55" s="5" t="s">
        <v>51</v>
      </c>
      <c r="N55" s="4"/>
    </row>
    <row r="56" spans="1:14" ht="203">
      <c r="A56" s="5" t="s">
        <v>531</v>
      </c>
      <c r="B56" s="5" t="s">
        <v>18</v>
      </c>
      <c r="C56" s="5" t="s">
        <v>42</v>
      </c>
      <c r="D56" s="4" t="s">
        <v>532</v>
      </c>
      <c r="E56" s="4" t="s">
        <v>44</v>
      </c>
      <c r="F56" s="4" t="s">
        <v>533</v>
      </c>
      <c r="G56" s="4" t="s">
        <v>534</v>
      </c>
      <c r="H56" s="4" t="s">
        <v>535</v>
      </c>
      <c r="I56" s="5" t="s">
        <v>48</v>
      </c>
      <c r="J56" s="4" t="s">
        <v>529</v>
      </c>
      <c r="K56" s="4" t="s">
        <v>536</v>
      </c>
      <c r="L56" s="5" t="s">
        <v>4</v>
      </c>
      <c r="M56" s="5" t="s">
        <v>51</v>
      </c>
      <c r="N56" s="4"/>
    </row>
    <row r="57" spans="1:14" ht="188.5">
      <c r="A57" s="5" t="s">
        <v>537</v>
      </c>
      <c r="B57" s="5" t="s">
        <v>18</v>
      </c>
      <c r="C57" s="5" t="s">
        <v>42</v>
      </c>
      <c r="D57" s="4" t="s">
        <v>538</v>
      </c>
      <c r="E57" s="4" t="s">
        <v>44</v>
      </c>
      <c r="F57" s="4" t="s">
        <v>539</v>
      </c>
      <c r="G57" s="4" t="s">
        <v>540</v>
      </c>
      <c r="H57" s="4" t="s">
        <v>541</v>
      </c>
      <c r="I57" s="5" t="s">
        <v>73</v>
      </c>
      <c r="J57" s="4" t="s">
        <v>529</v>
      </c>
      <c r="K57" s="4" t="s">
        <v>542</v>
      </c>
      <c r="L57" s="5" t="s">
        <v>4</v>
      </c>
      <c r="M57" s="5" t="s">
        <v>51</v>
      </c>
      <c r="N57" s="4" t="s">
        <v>543</v>
      </c>
    </row>
    <row r="58" spans="1:14" ht="188.5">
      <c r="A58" s="5" t="s">
        <v>544</v>
      </c>
      <c r="B58" s="5" t="s">
        <v>19</v>
      </c>
      <c r="C58" s="5" t="s">
        <v>42</v>
      </c>
      <c r="D58" s="4" t="s">
        <v>545</v>
      </c>
      <c r="E58" s="4" t="s">
        <v>44</v>
      </c>
      <c r="F58" s="4" t="s">
        <v>546</v>
      </c>
      <c r="G58" s="4" t="s">
        <v>173</v>
      </c>
      <c r="H58" s="4" t="s">
        <v>547</v>
      </c>
      <c r="I58" s="5" t="s">
        <v>48</v>
      </c>
      <c r="J58" s="4" t="s">
        <v>548</v>
      </c>
      <c r="K58" s="4" t="s">
        <v>549</v>
      </c>
      <c r="L58" s="5" t="s">
        <v>4</v>
      </c>
      <c r="M58" s="5" t="s">
        <v>51</v>
      </c>
      <c r="N58" s="4"/>
    </row>
    <row r="59" spans="1:14" ht="174">
      <c r="A59" s="5" t="s">
        <v>550</v>
      </c>
      <c r="B59" s="5" t="s">
        <v>19</v>
      </c>
      <c r="C59" s="5" t="s">
        <v>42</v>
      </c>
      <c r="D59" s="4" t="s">
        <v>551</v>
      </c>
      <c r="E59" s="4" t="s">
        <v>44</v>
      </c>
      <c r="F59" s="4" t="s">
        <v>552</v>
      </c>
      <c r="G59" s="4" t="s">
        <v>173</v>
      </c>
      <c r="H59" s="4" t="s">
        <v>553</v>
      </c>
      <c r="I59" s="5" t="s">
        <v>184</v>
      </c>
      <c r="J59" s="4" t="s">
        <v>548</v>
      </c>
      <c r="K59" s="4" t="s">
        <v>554</v>
      </c>
      <c r="L59" s="5" t="s">
        <v>4</v>
      </c>
      <c r="M59" s="5" t="s">
        <v>51</v>
      </c>
      <c r="N59" s="4" t="s">
        <v>555</v>
      </c>
    </row>
    <row r="60" spans="1:14" ht="174">
      <c r="A60" s="5" t="s">
        <v>556</v>
      </c>
      <c r="B60" s="5" t="s">
        <v>19</v>
      </c>
      <c r="C60" s="5" t="s">
        <v>53</v>
      </c>
      <c r="D60" s="4" t="s">
        <v>557</v>
      </c>
      <c r="E60" s="4" t="s">
        <v>44</v>
      </c>
      <c r="F60" s="4" t="s">
        <v>558</v>
      </c>
      <c r="G60" s="4" t="s">
        <v>173</v>
      </c>
      <c r="H60" s="4" t="s">
        <v>559</v>
      </c>
      <c r="I60" s="5" t="s">
        <v>48</v>
      </c>
      <c r="J60" s="4" t="s">
        <v>548</v>
      </c>
      <c r="K60" s="4" t="s">
        <v>560</v>
      </c>
      <c r="L60" s="5" t="s">
        <v>4</v>
      </c>
      <c r="M60" s="5" t="s">
        <v>51</v>
      </c>
      <c r="N60" s="4" t="s">
        <v>561</v>
      </c>
    </row>
    <row r="61" spans="1:14" ht="159.5">
      <c r="A61" s="5" t="s">
        <v>562</v>
      </c>
      <c r="B61" s="5" t="s">
        <v>19</v>
      </c>
      <c r="C61" s="5" t="s">
        <v>53</v>
      </c>
      <c r="D61" s="4" t="s">
        <v>563</v>
      </c>
      <c r="E61" s="4" t="s">
        <v>44</v>
      </c>
      <c r="F61" s="4" t="s">
        <v>564</v>
      </c>
      <c r="G61" s="4" t="s">
        <v>173</v>
      </c>
      <c r="H61" s="4" t="s">
        <v>565</v>
      </c>
      <c r="I61" s="5" t="s">
        <v>73</v>
      </c>
      <c r="J61" s="4" t="s">
        <v>548</v>
      </c>
      <c r="K61" s="4" t="s">
        <v>566</v>
      </c>
      <c r="L61" s="5" t="s">
        <v>4</v>
      </c>
      <c r="M61" s="5" t="s">
        <v>51</v>
      </c>
      <c r="N61" s="4"/>
    </row>
    <row r="62" spans="1:14" ht="174">
      <c r="A62" s="5" t="s">
        <v>567</v>
      </c>
      <c r="B62" s="5" t="s">
        <v>19</v>
      </c>
      <c r="C62" s="5" t="s">
        <v>53</v>
      </c>
      <c r="D62" s="4" t="s">
        <v>568</v>
      </c>
      <c r="E62" s="4" t="s">
        <v>44</v>
      </c>
      <c r="F62" s="4" t="s">
        <v>569</v>
      </c>
      <c r="G62" s="4" t="s">
        <v>173</v>
      </c>
      <c r="H62" s="4" t="s">
        <v>570</v>
      </c>
      <c r="I62" s="5" t="s">
        <v>73</v>
      </c>
      <c r="J62" s="4" t="s">
        <v>548</v>
      </c>
      <c r="K62" s="4" t="s">
        <v>571</v>
      </c>
      <c r="L62" s="5" t="s">
        <v>5</v>
      </c>
      <c r="M62" s="5" t="s">
        <v>572</v>
      </c>
      <c r="N62" s="4" t="s">
        <v>573</v>
      </c>
    </row>
    <row r="63" spans="1:14" ht="116">
      <c r="A63" s="5" t="s">
        <v>574</v>
      </c>
      <c r="B63" s="5" t="s">
        <v>20</v>
      </c>
      <c r="C63" s="5" t="s">
        <v>42</v>
      </c>
      <c r="D63" s="4" t="s">
        <v>575</v>
      </c>
      <c r="E63" s="4" t="s">
        <v>44</v>
      </c>
      <c r="F63" s="4" t="s">
        <v>576</v>
      </c>
      <c r="G63" s="4" t="s">
        <v>268</v>
      </c>
      <c r="H63" s="4" t="s">
        <v>577</v>
      </c>
      <c r="I63" s="5" t="s">
        <v>73</v>
      </c>
      <c r="J63" s="4" t="s">
        <v>578</v>
      </c>
      <c r="K63" s="4" t="s">
        <v>579</v>
      </c>
      <c r="L63" s="5" t="s">
        <v>4</v>
      </c>
      <c r="M63" s="5" t="s">
        <v>51</v>
      </c>
      <c r="N63" s="4"/>
    </row>
    <row r="64" spans="1:14" ht="116">
      <c r="A64" s="5" t="s">
        <v>580</v>
      </c>
      <c r="B64" s="5" t="s">
        <v>20</v>
      </c>
      <c r="C64" s="5" t="s">
        <v>42</v>
      </c>
      <c r="D64" s="4" t="s">
        <v>581</v>
      </c>
      <c r="E64" s="4" t="s">
        <v>44</v>
      </c>
      <c r="F64" s="4" t="s">
        <v>582</v>
      </c>
      <c r="G64" s="4" t="s">
        <v>173</v>
      </c>
      <c r="H64" s="4" t="s">
        <v>583</v>
      </c>
      <c r="I64" s="5" t="s">
        <v>73</v>
      </c>
      <c r="J64" s="4" t="s">
        <v>578</v>
      </c>
      <c r="K64" s="4" t="s">
        <v>584</v>
      </c>
      <c r="L64" s="5" t="s">
        <v>4</v>
      </c>
      <c r="M64" s="5" t="s">
        <v>51</v>
      </c>
      <c r="N64" s="4"/>
    </row>
    <row r="65" spans="1:14" ht="87">
      <c r="A65" s="5" t="s">
        <v>585</v>
      </c>
      <c r="B65" s="5" t="s">
        <v>20</v>
      </c>
      <c r="C65" s="5" t="s">
        <v>42</v>
      </c>
      <c r="D65" s="4" t="s">
        <v>586</v>
      </c>
      <c r="E65" s="4" t="s">
        <v>44</v>
      </c>
      <c r="F65" s="4" t="s">
        <v>587</v>
      </c>
      <c r="G65" s="4" t="s">
        <v>268</v>
      </c>
      <c r="H65" s="4" t="s">
        <v>588</v>
      </c>
      <c r="I65" s="5" t="s">
        <v>184</v>
      </c>
      <c r="J65" s="4" t="s">
        <v>578</v>
      </c>
      <c r="K65" s="4" t="s">
        <v>589</v>
      </c>
      <c r="L65" s="5" t="s">
        <v>4</v>
      </c>
      <c r="M65" s="5" t="s">
        <v>51</v>
      </c>
      <c r="N65" s="4" t="s">
        <v>590</v>
      </c>
    </row>
    <row r="66" spans="1:14" ht="116">
      <c r="A66" s="5" t="s">
        <v>591</v>
      </c>
      <c r="B66" s="5" t="s">
        <v>20</v>
      </c>
      <c r="C66" s="5" t="s">
        <v>42</v>
      </c>
      <c r="D66" s="4" t="s">
        <v>592</v>
      </c>
      <c r="E66" s="4" t="s">
        <v>44</v>
      </c>
      <c r="F66" s="4" t="s">
        <v>593</v>
      </c>
      <c r="G66" s="4" t="s">
        <v>403</v>
      </c>
      <c r="H66" s="4" t="s">
        <v>594</v>
      </c>
      <c r="I66" s="5" t="s">
        <v>73</v>
      </c>
      <c r="J66" s="4" t="s">
        <v>578</v>
      </c>
      <c r="K66" s="4" t="s">
        <v>595</v>
      </c>
      <c r="L66" s="5" t="s">
        <v>5</v>
      </c>
      <c r="M66" s="5" t="s">
        <v>596</v>
      </c>
      <c r="N66" s="4" t="s">
        <v>597</v>
      </c>
    </row>
    <row r="67" spans="1:14" ht="87">
      <c r="A67" s="5" t="s">
        <v>598</v>
      </c>
      <c r="B67" s="5" t="s">
        <v>20</v>
      </c>
      <c r="C67" s="5" t="s">
        <v>42</v>
      </c>
      <c r="D67" s="4" t="s">
        <v>599</v>
      </c>
      <c r="E67" s="4" t="s">
        <v>44</v>
      </c>
      <c r="F67" s="4" t="s">
        <v>600</v>
      </c>
      <c r="G67" s="4" t="s">
        <v>173</v>
      </c>
      <c r="H67" s="4" t="s">
        <v>601</v>
      </c>
      <c r="I67" s="5" t="s">
        <v>73</v>
      </c>
      <c r="J67" s="4" t="s">
        <v>578</v>
      </c>
      <c r="K67" s="4" t="s">
        <v>602</v>
      </c>
      <c r="L67" s="5" t="s">
        <v>4</v>
      </c>
      <c r="M67" s="5" t="s">
        <v>51</v>
      </c>
      <c r="N67" s="4"/>
    </row>
    <row r="68" spans="1:14" ht="87">
      <c r="A68" s="5" t="s">
        <v>603</v>
      </c>
      <c r="B68" s="5" t="s">
        <v>21</v>
      </c>
      <c r="C68" s="5" t="s">
        <v>42</v>
      </c>
      <c r="D68" s="4" t="s">
        <v>604</v>
      </c>
      <c r="E68" s="4" t="s">
        <v>44</v>
      </c>
      <c r="F68" s="4" t="s">
        <v>605</v>
      </c>
      <c r="G68" s="4" t="s">
        <v>321</v>
      </c>
      <c r="H68" s="4" t="s">
        <v>606</v>
      </c>
      <c r="I68" s="5" t="s">
        <v>73</v>
      </c>
      <c r="J68" s="4" t="s">
        <v>607</v>
      </c>
      <c r="K68" s="4" t="s">
        <v>608</v>
      </c>
      <c r="L68" s="5" t="s">
        <v>4</v>
      </c>
      <c r="M68" s="5" t="s">
        <v>51</v>
      </c>
      <c r="N68" s="4"/>
    </row>
    <row r="69" spans="1:14" ht="72.5">
      <c r="A69" s="5" t="s">
        <v>609</v>
      </c>
      <c r="B69" s="5" t="s">
        <v>21</v>
      </c>
      <c r="C69" s="5" t="s">
        <v>53</v>
      </c>
      <c r="D69" s="4" t="s">
        <v>610</v>
      </c>
      <c r="E69" s="4" t="s">
        <v>197</v>
      </c>
      <c r="F69" s="4" t="s">
        <v>611</v>
      </c>
      <c r="G69" s="4" t="s">
        <v>612</v>
      </c>
      <c r="H69" s="4" t="s">
        <v>613</v>
      </c>
      <c r="I69" s="5" t="s">
        <v>48</v>
      </c>
      <c r="J69" s="4" t="s">
        <v>607</v>
      </c>
      <c r="K69" s="4" t="s">
        <v>614</v>
      </c>
      <c r="L69" s="5" t="s">
        <v>4</v>
      </c>
      <c r="M69" s="5" t="s">
        <v>51</v>
      </c>
      <c r="N69" s="4"/>
    </row>
    <row r="70" spans="1:14" ht="72.5">
      <c r="A70" s="5" t="s">
        <v>615</v>
      </c>
      <c r="B70" s="5" t="s">
        <v>21</v>
      </c>
      <c r="C70" s="5" t="s">
        <v>53</v>
      </c>
      <c r="D70" s="4" t="s">
        <v>616</v>
      </c>
      <c r="E70" s="4" t="s">
        <v>197</v>
      </c>
      <c r="F70" s="4" t="s">
        <v>617</v>
      </c>
      <c r="G70" s="4" t="s">
        <v>618</v>
      </c>
      <c r="H70" s="4" t="s">
        <v>619</v>
      </c>
      <c r="I70" s="5" t="s">
        <v>48</v>
      </c>
      <c r="J70" s="4" t="s">
        <v>607</v>
      </c>
      <c r="K70" s="4" t="s">
        <v>620</v>
      </c>
      <c r="L70" s="5" t="s">
        <v>4</v>
      </c>
      <c r="M70" s="5" t="s">
        <v>51</v>
      </c>
      <c r="N70" s="4"/>
    </row>
    <row r="71" spans="1:14" ht="72.5">
      <c r="A71" s="5" t="s">
        <v>621</v>
      </c>
      <c r="B71" s="5" t="s">
        <v>21</v>
      </c>
      <c r="C71" s="5" t="s">
        <v>53</v>
      </c>
      <c r="D71" s="4" t="s">
        <v>622</v>
      </c>
      <c r="E71" s="4" t="s">
        <v>197</v>
      </c>
      <c r="F71" s="4" t="s">
        <v>623</v>
      </c>
      <c r="G71" s="4" t="s">
        <v>624</v>
      </c>
      <c r="H71" s="4" t="s">
        <v>625</v>
      </c>
      <c r="I71" s="5" t="s">
        <v>48</v>
      </c>
      <c r="J71" s="4" t="s">
        <v>607</v>
      </c>
      <c r="K71" s="4" t="s">
        <v>626</v>
      </c>
      <c r="L71" s="5" t="s">
        <v>4</v>
      </c>
      <c r="M71" s="5" t="s">
        <v>51</v>
      </c>
      <c r="N71" s="4"/>
    </row>
    <row r="72" spans="1:14" ht="72.5">
      <c r="A72" s="5" t="s">
        <v>627</v>
      </c>
      <c r="B72" s="5" t="s">
        <v>21</v>
      </c>
      <c r="C72" s="5" t="s">
        <v>53</v>
      </c>
      <c r="D72" s="4" t="s">
        <v>628</v>
      </c>
      <c r="E72" s="4" t="s">
        <v>197</v>
      </c>
      <c r="F72" s="4" t="s">
        <v>629</v>
      </c>
      <c r="G72" s="4" t="s">
        <v>630</v>
      </c>
      <c r="H72" s="4" t="s">
        <v>631</v>
      </c>
      <c r="I72" s="5" t="s">
        <v>48</v>
      </c>
      <c r="J72" s="4" t="s">
        <v>607</v>
      </c>
      <c r="K72" s="4" t="s">
        <v>632</v>
      </c>
      <c r="L72" s="5" t="s">
        <v>4</v>
      </c>
      <c r="M72" s="5" t="s">
        <v>51</v>
      </c>
      <c r="N72" s="4"/>
    </row>
    <row r="73" spans="1:14" ht="116">
      <c r="A73" s="5" t="s">
        <v>633</v>
      </c>
      <c r="B73" s="5" t="s">
        <v>21</v>
      </c>
      <c r="C73" s="5" t="s">
        <v>53</v>
      </c>
      <c r="D73" s="4" t="s">
        <v>634</v>
      </c>
      <c r="E73" s="4" t="s">
        <v>44</v>
      </c>
      <c r="F73" s="4" t="s">
        <v>635</v>
      </c>
      <c r="G73" s="4" t="s">
        <v>321</v>
      </c>
      <c r="H73" s="4" t="s">
        <v>636</v>
      </c>
      <c r="I73" s="5" t="s">
        <v>48</v>
      </c>
      <c r="J73" s="4" t="s">
        <v>607</v>
      </c>
      <c r="K73" s="4" t="s">
        <v>637</v>
      </c>
      <c r="L73" s="5" t="s">
        <v>4</v>
      </c>
      <c r="M73" s="5" t="s">
        <v>51</v>
      </c>
      <c r="N73" s="4"/>
    </row>
    <row r="74" spans="1:14" ht="87">
      <c r="A74" s="5" t="s">
        <v>638</v>
      </c>
      <c r="B74" s="5" t="s">
        <v>21</v>
      </c>
      <c r="C74" s="5" t="s">
        <v>53</v>
      </c>
      <c r="D74" s="4" t="s">
        <v>639</v>
      </c>
      <c r="E74" s="4" t="s">
        <v>44</v>
      </c>
      <c r="F74" s="4" t="s">
        <v>640</v>
      </c>
      <c r="G74" s="4" t="s">
        <v>641</v>
      </c>
      <c r="H74" s="4" t="s">
        <v>642</v>
      </c>
      <c r="I74" s="5" t="s">
        <v>73</v>
      </c>
      <c r="J74" s="4" t="s">
        <v>607</v>
      </c>
      <c r="K74" s="4" t="s">
        <v>643</v>
      </c>
      <c r="L74" s="5" t="s">
        <v>4</v>
      </c>
      <c r="M74" s="5" t="s">
        <v>51</v>
      </c>
      <c r="N74" s="4" t="s">
        <v>644</v>
      </c>
    </row>
    <row r="75" spans="1:14" ht="101.5">
      <c r="A75" s="5" t="s">
        <v>645</v>
      </c>
      <c r="B75" s="5" t="s">
        <v>24</v>
      </c>
      <c r="C75" s="5" t="s">
        <v>42</v>
      </c>
      <c r="D75" s="4" t="s">
        <v>646</v>
      </c>
      <c r="E75" s="4" t="s">
        <v>44</v>
      </c>
      <c r="F75" s="4" t="s">
        <v>647</v>
      </c>
      <c r="G75" s="4" t="s">
        <v>648</v>
      </c>
      <c r="H75" s="4" t="s">
        <v>649</v>
      </c>
      <c r="I75" s="5" t="s">
        <v>73</v>
      </c>
      <c r="J75" s="4" t="s">
        <v>650</v>
      </c>
      <c r="K75" s="4" t="s">
        <v>651</v>
      </c>
      <c r="L75" s="5" t="s">
        <v>5</v>
      </c>
      <c r="M75" s="5" t="s">
        <v>652</v>
      </c>
      <c r="N75" s="4" t="s">
        <v>653</v>
      </c>
    </row>
    <row r="76" spans="1:14" ht="116">
      <c r="A76" s="5" t="s">
        <v>654</v>
      </c>
      <c r="B76" s="5" t="s">
        <v>24</v>
      </c>
      <c r="C76" s="5" t="s">
        <v>42</v>
      </c>
      <c r="D76" s="4" t="s">
        <v>655</v>
      </c>
      <c r="E76" s="4" t="s">
        <v>44</v>
      </c>
      <c r="F76" s="4" t="s">
        <v>656</v>
      </c>
      <c r="G76" s="4" t="s">
        <v>657</v>
      </c>
      <c r="H76" s="4" t="s">
        <v>658</v>
      </c>
      <c r="I76" s="5" t="s">
        <v>73</v>
      </c>
      <c r="J76" s="4" t="s">
        <v>650</v>
      </c>
      <c r="K76" s="4" t="s">
        <v>659</v>
      </c>
      <c r="L76" s="5" t="s">
        <v>5</v>
      </c>
      <c r="M76" s="5" t="s">
        <v>660</v>
      </c>
      <c r="N76" s="4" t="s">
        <v>661</v>
      </c>
    </row>
    <row r="77" spans="1:14" ht="101.5">
      <c r="A77" s="5" t="s">
        <v>662</v>
      </c>
      <c r="B77" s="5" t="s">
        <v>24</v>
      </c>
      <c r="C77" s="5" t="s">
        <v>42</v>
      </c>
      <c r="D77" s="4" t="s">
        <v>663</v>
      </c>
      <c r="E77" s="4" t="s">
        <v>44</v>
      </c>
      <c r="F77" s="4" t="s">
        <v>664</v>
      </c>
      <c r="G77" s="4" t="s">
        <v>665</v>
      </c>
      <c r="H77" s="4" t="s">
        <v>666</v>
      </c>
      <c r="I77" s="5" t="s">
        <v>73</v>
      </c>
      <c r="J77" s="4" t="s">
        <v>650</v>
      </c>
      <c r="K77" s="4" t="s">
        <v>667</v>
      </c>
      <c r="L77" s="5" t="s">
        <v>5</v>
      </c>
      <c r="M77" s="5" t="s">
        <v>668</v>
      </c>
      <c r="N77" s="4"/>
    </row>
    <row r="78" spans="1:14" ht="87">
      <c r="A78" s="5" t="s">
        <v>669</v>
      </c>
      <c r="B78" s="5" t="s">
        <v>24</v>
      </c>
      <c r="C78" s="5" t="s">
        <v>42</v>
      </c>
      <c r="D78" s="4" t="s">
        <v>670</v>
      </c>
      <c r="E78" s="4" t="s">
        <v>44</v>
      </c>
      <c r="F78" s="4" t="s">
        <v>671</v>
      </c>
      <c r="G78" s="4" t="s">
        <v>672</v>
      </c>
      <c r="H78" s="4" t="s">
        <v>673</v>
      </c>
      <c r="I78" s="5" t="s">
        <v>184</v>
      </c>
      <c r="J78" s="4" t="s">
        <v>650</v>
      </c>
      <c r="K78" s="4" t="s">
        <v>674</v>
      </c>
      <c r="L78" s="5" t="s">
        <v>5</v>
      </c>
      <c r="M78" s="5" t="s">
        <v>675</v>
      </c>
      <c r="N78" s="4" t="s">
        <v>676</v>
      </c>
    </row>
  </sheetData>
  <autoFilter ref="A5:N78" xr:uid="{00000000-0009-0000-0000-000002000000}"/>
  <dataValidations count="1">
    <dataValidation type="list" sqref="L6:L78" xr:uid="{00000000-0002-0000-0200-000000000000}">
      <formula1>"Pass,Fail,Not Run,Blocked"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
  <sheetViews>
    <sheetView workbookViewId="0">
      <pane xSplit="1" ySplit="4" topLeftCell="B5" activePane="bottomRight" state="frozen"/>
      <selection pane="topRight"/>
      <selection pane="bottomLeft"/>
      <selection pane="bottomRight"/>
    </sheetView>
  </sheetViews>
  <sheetFormatPr defaultRowHeight="14.5"/>
  <cols>
    <col min="1" max="1" width="9" customWidth="1"/>
    <col min="2" max="2" width="13" customWidth="1"/>
    <col min="3" max="3" width="15" customWidth="1"/>
    <col min="4" max="4" width="36" customWidth="1"/>
    <col min="5" max="5" width="50" customWidth="1"/>
    <col min="6" max="6" width="38" customWidth="1"/>
    <col min="7" max="7" width="42" customWidth="1"/>
    <col min="8" max="8" width="10" customWidth="1"/>
    <col min="9" max="9" width="30" customWidth="1"/>
  </cols>
  <sheetData>
    <row r="1" spans="1:9" ht="18.5">
      <c r="A1" s="1" t="s">
        <v>677</v>
      </c>
    </row>
    <row r="2" spans="1:9">
      <c r="A2" s="2" t="s">
        <v>678</v>
      </c>
    </row>
    <row r="4" spans="1:9" ht="32" customHeight="1">
      <c r="A4" s="3" t="s">
        <v>39</v>
      </c>
      <c r="B4" s="3" t="s">
        <v>679</v>
      </c>
      <c r="C4" s="3" t="s">
        <v>680</v>
      </c>
      <c r="D4" s="3" t="s">
        <v>681</v>
      </c>
      <c r="E4" s="3" t="s">
        <v>682</v>
      </c>
      <c r="F4" s="3" t="s">
        <v>683</v>
      </c>
      <c r="G4" s="3" t="s">
        <v>37</v>
      </c>
      <c r="H4" s="3" t="s">
        <v>684</v>
      </c>
      <c r="I4" s="3" t="s">
        <v>38</v>
      </c>
    </row>
    <row r="5" spans="1:9" ht="58">
      <c r="A5" s="5" t="s">
        <v>227</v>
      </c>
      <c r="B5" s="5" t="s">
        <v>220</v>
      </c>
      <c r="C5" s="5" t="s">
        <v>14</v>
      </c>
      <c r="D5" s="4" t="s">
        <v>685</v>
      </c>
      <c r="E5" s="4" t="s">
        <v>686</v>
      </c>
      <c r="F5" s="4" t="s">
        <v>687</v>
      </c>
      <c r="G5" s="4" t="s">
        <v>688</v>
      </c>
      <c r="H5" s="5" t="s">
        <v>689</v>
      </c>
      <c r="I5" s="4" t="s">
        <v>690</v>
      </c>
    </row>
    <row r="6" spans="1:9" ht="58">
      <c r="A6" s="5" t="s">
        <v>494</v>
      </c>
      <c r="B6" s="5" t="s">
        <v>488</v>
      </c>
      <c r="C6" s="5" t="s">
        <v>17</v>
      </c>
      <c r="D6" s="4" t="s">
        <v>691</v>
      </c>
      <c r="E6" s="4" t="s">
        <v>692</v>
      </c>
      <c r="F6" s="4" t="s">
        <v>693</v>
      </c>
      <c r="G6" s="4" t="s">
        <v>694</v>
      </c>
      <c r="H6" s="5" t="s">
        <v>689</v>
      </c>
      <c r="I6" s="4" t="s">
        <v>695</v>
      </c>
    </row>
    <row r="7" spans="1:9" ht="58">
      <c r="A7" s="5" t="s">
        <v>508</v>
      </c>
      <c r="B7" s="5" t="s">
        <v>696</v>
      </c>
      <c r="C7" s="5" t="s">
        <v>17</v>
      </c>
      <c r="D7" s="4" t="s">
        <v>697</v>
      </c>
      <c r="E7" s="4" t="s">
        <v>698</v>
      </c>
      <c r="F7" s="4" t="s">
        <v>699</v>
      </c>
      <c r="G7" s="4" t="s">
        <v>700</v>
      </c>
      <c r="H7" s="5" t="s">
        <v>689</v>
      </c>
      <c r="I7" s="4" t="s">
        <v>695</v>
      </c>
    </row>
    <row r="8" spans="1:9" ht="58">
      <c r="A8" s="5" t="s">
        <v>596</v>
      </c>
      <c r="B8" s="5" t="s">
        <v>591</v>
      </c>
      <c r="C8" s="5" t="s">
        <v>20</v>
      </c>
      <c r="D8" s="4" t="s">
        <v>701</v>
      </c>
      <c r="E8" s="4" t="s">
        <v>702</v>
      </c>
      <c r="F8" s="4" t="s">
        <v>703</v>
      </c>
      <c r="G8" s="4" t="s">
        <v>704</v>
      </c>
      <c r="H8" s="5" t="s">
        <v>705</v>
      </c>
      <c r="I8" s="4" t="s">
        <v>690</v>
      </c>
    </row>
    <row r="9" spans="1:9" ht="43.5">
      <c r="A9" s="5" t="s">
        <v>249</v>
      </c>
      <c r="B9" s="5" t="s">
        <v>243</v>
      </c>
      <c r="C9" s="5" t="s">
        <v>12</v>
      </c>
      <c r="D9" s="4" t="s">
        <v>706</v>
      </c>
      <c r="E9" s="4" t="s">
        <v>707</v>
      </c>
      <c r="F9" s="4" t="s">
        <v>708</v>
      </c>
      <c r="G9" s="4" t="s">
        <v>709</v>
      </c>
      <c r="H9" s="5" t="s">
        <v>705</v>
      </c>
      <c r="I9" s="4" t="s">
        <v>710</v>
      </c>
    </row>
    <row r="10" spans="1:9" ht="72.5">
      <c r="A10" s="5" t="s">
        <v>434</v>
      </c>
      <c r="B10" s="5" t="s">
        <v>428</v>
      </c>
      <c r="C10" s="5" t="s">
        <v>16</v>
      </c>
      <c r="D10" s="4" t="s">
        <v>711</v>
      </c>
      <c r="E10" s="4" t="s">
        <v>712</v>
      </c>
      <c r="F10" s="4" t="s">
        <v>713</v>
      </c>
      <c r="G10" s="4" t="s">
        <v>714</v>
      </c>
      <c r="H10" s="5" t="s">
        <v>715</v>
      </c>
      <c r="I10" s="4" t="s">
        <v>695</v>
      </c>
    </row>
    <row r="11" spans="1:9" ht="58">
      <c r="A11" s="5" t="s">
        <v>572</v>
      </c>
      <c r="B11" s="5" t="s">
        <v>567</v>
      </c>
      <c r="C11" s="5" t="s">
        <v>19</v>
      </c>
      <c r="D11" s="4" t="s">
        <v>716</v>
      </c>
      <c r="E11" s="4" t="s">
        <v>717</v>
      </c>
      <c r="F11" s="4" t="s">
        <v>718</v>
      </c>
      <c r="G11" s="4" t="s">
        <v>719</v>
      </c>
      <c r="H11" s="5" t="s">
        <v>689</v>
      </c>
      <c r="I11" s="4" t="s">
        <v>690</v>
      </c>
    </row>
    <row r="12" spans="1:9" ht="43.5">
      <c r="A12" s="5" t="s">
        <v>652</v>
      </c>
      <c r="B12" s="5" t="s">
        <v>645</v>
      </c>
      <c r="C12" s="5" t="s">
        <v>24</v>
      </c>
      <c r="D12" s="4" t="s">
        <v>720</v>
      </c>
      <c r="E12" s="4" t="s">
        <v>721</v>
      </c>
      <c r="F12" s="4" t="s">
        <v>722</v>
      </c>
      <c r="G12" s="4" t="s">
        <v>723</v>
      </c>
      <c r="H12" s="5" t="s">
        <v>689</v>
      </c>
      <c r="I12" s="4" t="s">
        <v>690</v>
      </c>
    </row>
    <row r="13" spans="1:9" ht="58">
      <c r="A13" s="5" t="s">
        <v>660</v>
      </c>
      <c r="B13" s="5" t="s">
        <v>654</v>
      </c>
      <c r="C13" s="5" t="s">
        <v>24</v>
      </c>
      <c r="D13" s="4" t="s">
        <v>724</v>
      </c>
      <c r="E13" s="4" t="s">
        <v>725</v>
      </c>
      <c r="F13" s="4" t="s">
        <v>726</v>
      </c>
      <c r="G13" s="4" t="s">
        <v>727</v>
      </c>
      <c r="H13" s="5" t="s">
        <v>689</v>
      </c>
      <c r="I13" s="4" t="s">
        <v>690</v>
      </c>
    </row>
    <row r="14" spans="1:9" ht="29">
      <c r="A14" s="5" t="s">
        <v>668</v>
      </c>
      <c r="B14" s="5" t="s">
        <v>662</v>
      </c>
      <c r="C14" s="5" t="s">
        <v>24</v>
      </c>
      <c r="D14" s="4" t="s">
        <v>728</v>
      </c>
      <c r="E14" s="4" t="s">
        <v>729</v>
      </c>
      <c r="F14" s="4" t="s">
        <v>730</v>
      </c>
      <c r="G14" s="4" t="s">
        <v>731</v>
      </c>
      <c r="H14" s="5" t="s">
        <v>705</v>
      </c>
      <c r="I14" s="4" t="s">
        <v>690</v>
      </c>
    </row>
    <row r="15" spans="1:9" ht="58">
      <c r="A15" s="5" t="s">
        <v>675</v>
      </c>
      <c r="B15" s="5" t="s">
        <v>669</v>
      </c>
      <c r="C15" s="5" t="s">
        <v>24</v>
      </c>
      <c r="D15" s="4" t="s">
        <v>732</v>
      </c>
      <c r="E15" s="4" t="s">
        <v>733</v>
      </c>
      <c r="F15" s="4" t="s">
        <v>734</v>
      </c>
      <c r="G15" s="4" t="s">
        <v>735</v>
      </c>
      <c r="H15" s="5" t="s">
        <v>715</v>
      </c>
      <c r="I15" s="4" t="s">
        <v>690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Core Test Cases (A1)</vt:lpstr>
      <vt:lpstr>Extended Test Cases</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Chandramouli Kancharla</cp:lastModifiedBy>
  <dcterms:created xsi:type="dcterms:W3CDTF">2026-10-27T19:28:36Z</dcterms:created>
  <dcterms:modified xsi:type="dcterms:W3CDTF">2026-10-28T13:07:20Z</dcterms:modified>
</cp:coreProperties>
</file>