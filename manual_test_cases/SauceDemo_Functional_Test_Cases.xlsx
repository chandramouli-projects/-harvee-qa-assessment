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ore Test Cases (A1)" sheetId="2" state="visible" r:id="rId2"/>
    <sheet xmlns:r="http://schemas.openxmlformats.org/officeDocument/2006/relationships" name="Extended Test Cases" sheetId="3" state="visible" r:id="rId3"/>
    <sheet xmlns:r="http://schemas.openxmlformats.org/officeDocument/2006/relationships" name="Bugs" sheetId="4" state="visible" r:id="rId4"/>
  </sheets>
  <definedNames>
    <definedName name="_xlnm._FilterDatabase" localSheetId="1" hidden="1">'Core Test Cases (A1)'!$A$5:$N$30</definedName>
    <definedName name="_xlnm._FilterDatabase" localSheetId="2" hidden="1">'Extended Test Cases'!$A$5:$N$78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4"/>
    </font>
    <font>
      <name val="Calibri"/>
      <i val="1"/>
      <sz val="10"/>
    </font>
    <font>
      <name val="Calibri"/>
      <b val="1"/>
      <sz val="11"/>
    </font>
    <font>
      <name val="Calibri"/>
      <sz val="11"/>
    </font>
  </fonts>
  <fills count="3">
    <fill>
      <patternFill/>
    </fill>
    <fill>
      <patternFill patternType="gray125"/>
    </fill>
    <fill>
      <patternFill patternType="solid">
        <fgColor rgb="00BDD7EE"/>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34" customWidth="1" min="1" max="1"/>
    <col width="12" customWidth="1" min="2" max="2"/>
    <col width="10" customWidth="1" min="3" max="3"/>
    <col width="10" customWidth="1" min="4" max="4"/>
    <col width="10" customWidth="1" min="5" max="5"/>
  </cols>
  <sheetData>
    <row r="1">
      <c r="A1" s="1" t="inlineStr">
        <is>
          <t>Test Summary</t>
        </is>
      </c>
    </row>
    <row r="2">
      <c r="A2" s="2" t="inlineStr">
        <is>
          <t>Sauce Demo - Shop and check out - tested on 27-28 Oct 2026 in Chrome, Firefox and Safari</t>
        </is>
      </c>
    </row>
    <row r="4" ht="32" customHeight="1">
      <c r="A4" s="3" t="inlineStr">
        <is>
          <t>Suite</t>
        </is>
      </c>
      <c r="B4" s="3" t="inlineStr">
        <is>
          <t>Test Cases</t>
        </is>
      </c>
      <c r="C4" s="3" t="inlineStr">
        <is>
          <t>Pass</t>
        </is>
      </c>
      <c r="D4" s="3" t="inlineStr">
        <is>
          <t>Fail</t>
        </is>
      </c>
      <c r="E4" s="3" t="inlineStr">
        <is>
          <t>Not Run</t>
        </is>
      </c>
    </row>
    <row r="5">
      <c r="A5" s="4" t="inlineStr">
        <is>
          <t>Core Test Cases (A1)</t>
        </is>
      </c>
      <c r="B5" s="5">
        <f>COUNTA('Core Test Cases (A1)'!$A$6:$A$30)</f>
        <v/>
      </c>
      <c r="C5" s="5">
        <f>COUNTIF('Core Test Cases (A1)'!$L$6:$L$30,"Pass")</f>
        <v/>
      </c>
      <c r="D5" s="5">
        <f>COUNTIF('Core Test Cases (A1)'!$L$6:$L$30,"Fail")</f>
        <v/>
      </c>
      <c r="E5" s="5">
        <f>COUNTIF('Core Test Cases (A1)'!$L$6:$L$30,"Not Run")</f>
        <v/>
      </c>
    </row>
    <row r="6">
      <c r="A6" s="4" t="inlineStr">
        <is>
          <t>Extended Test Cases</t>
        </is>
      </c>
      <c r="B6" s="5">
        <f>COUNTA('Extended Test Cases'!$A$6:$A$78)</f>
        <v/>
      </c>
      <c r="C6" s="5">
        <f>COUNTIF('Extended Test Cases'!$L$6:$L$78,"Pass")</f>
        <v/>
      </c>
      <c r="D6" s="5">
        <f>COUNTIF('Extended Test Cases'!$L$6:$L$78,"Fail")</f>
        <v/>
      </c>
      <c r="E6" s="5">
        <f>COUNTIF('Extended Test Cases'!$L$6:$L$78,"Not Run")</f>
        <v/>
      </c>
    </row>
    <row r="7">
      <c r="A7" s="6" t="inlineStr">
        <is>
          <t>Total</t>
        </is>
      </c>
      <c r="B7" s="7">
        <f>B5+B6</f>
        <v/>
      </c>
      <c r="C7" s="7">
        <f>C5+C6</f>
        <v/>
      </c>
      <c r="D7" s="7">
        <f>D5+D6</f>
        <v/>
      </c>
      <c r="E7" s="7">
        <f>E5+E6</f>
        <v/>
      </c>
    </row>
    <row r="8">
      <c r="A8" s="6" t="inlineStr">
        <is>
          <t>Bugs found</t>
        </is>
      </c>
      <c r="B8" s="5">
        <f>COUNTA(Bugs!$A$5:$A$15)</f>
        <v/>
      </c>
    </row>
    <row r="10" ht="32" customHeight="1">
      <c r="A10" s="3" t="inlineStr">
        <is>
          <t>Area</t>
        </is>
      </c>
      <c r="B10" s="3" t="inlineStr">
        <is>
          <t>Test Cases</t>
        </is>
      </c>
      <c r="C10" s="3" t="inlineStr">
        <is>
          <t>Pass</t>
        </is>
      </c>
      <c r="D10" s="3" t="inlineStr">
        <is>
          <t>Fail</t>
        </is>
      </c>
      <c r="E10" s="3" t="inlineStr">
        <is>
          <t>Not Run</t>
        </is>
      </c>
    </row>
    <row r="11">
      <c r="A11" s="4" t="inlineStr">
        <is>
          <t>Login</t>
        </is>
      </c>
      <c r="B11" s="5">
        <f>COUNTIF('Core Test Cases (A1)'!$B$6:$B$30,$A11)+COUNTIF('Extended Test Cases'!$B$6:$B$78,$A11)</f>
        <v/>
      </c>
      <c r="C11" s="5">
        <f>COUNTIFS('Core Test Cases (A1)'!$B$6:$B$30,$A11,'Core Test Cases (A1)'!$L$6:$L$30,"Pass")+COUNTIFS('Extended Test Cases'!$B$6:$B$78,$A11,'Extended Test Cases'!$L$6:$L$78,"Pass")</f>
        <v/>
      </c>
      <c r="D11" s="5">
        <f>COUNTIFS('Core Test Cases (A1)'!$B$6:$B$30,$A11,'Core Test Cases (A1)'!$L$6:$L$30,"Fail")+COUNTIFS('Extended Test Cases'!$B$6:$B$78,$A11,'Extended Test Cases'!$L$6:$L$78,"Fail")</f>
        <v/>
      </c>
      <c r="E11" s="5">
        <f>COUNTIFS('Core Test Cases (A1)'!$B$6:$B$30,$A11,'Core Test Cases (A1)'!$L$6:$L$30,"Not Run")+COUNTIFS('Extended Test Cases'!$B$6:$B$78,$A11,'Extended Test Cases'!$L$6:$L$78,"Not Run")</f>
        <v/>
      </c>
    </row>
    <row r="12">
      <c r="A12" s="4" t="inlineStr">
        <is>
          <t>Products</t>
        </is>
      </c>
      <c r="B12" s="5">
        <f>COUNTIF('Core Test Cases (A1)'!$B$6:$B$30,$A12)+COUNTIF('Extended Test Cases'!$B$6:$B$78,$A12)</f>
        <v/>
      </c>
      <c r="C12" s="5">
        <f>COUNTIFS('Core Test Cases (A1)'!$B$6:$B$30,$A12,'Core Test Cases (A1)'!$L$6:$L$30,"Pass")+COUNTIFS('Extended Test Cases'!$B$6:$B$78,$A12,'Extended Test Cases'!$L$6:$L$78,"Pass")</f>
        <v/>
      </c>
      <c r="D12" s="5">
        <f>COUNTIFS('Core Test Cases (A1)'!$B$6:$B$30,$A12,'Core Test Cases (A1)'!$L$6:$L$30,"Fail")+COUNTIFS('Extended Test Cases'!$B$6:$B$78,$A12,'Extended Test Cases'!$L$6:$L$78,"Fail")</f>
        <v/>
      </c>
      <c r="E12" s="5">
        <f>COUNTIFS('Core Test Cases (A1)'!$B$6:$B$30,$A12,'Core Test Cases (A1)'!$L$6:$L$30,"Not Run")+COUNTIFS('Extended Test Cases'!$B$6:$B$78,$A12,'Extended Test Cases'!$L$6:$L$78,"Not Run")</f>
        <v/>
      </c>
    </row>
    <row r="13">
      <c r="A13" s="4" t="inlineStr">
        <is>
          <t>Sorting</t>
        </is>
      </c>
      <c r="B13" s="5">
        <f>COUNTIF('Core Test Cases (A1)'!$B$6:$B$30,$A13)+COUNTIF('Extended Test Cases'!$B$6:$B$78,$A13)</f>
        <v/>
      </c>
      <c r="C13" s="5">
        <f>COUNTIFS('Core Test Cases (A1)'!$B$6:$B$30,$A13,'Core Test Cases (A1)'!$L$6:$L$30,"Pass")+COUNTIFS('Extended Test Cases'!$B$6:$B$78,$A13,'Extended Test Cases'!$L$6:$L$78,"Pass")</f>
        <v/>
      </c>
      <c r="D13" s="5">
        <f>COUNTIFS('Core Test Cases (A1)'!$B$6:$B$30,$A13,'Core Test Cases (A1)'!$L$6:$L$30,"Fail")+COUNTIFS('Extended Test Cases'!$B$6:$B$78,$A13,'Extended Test Cases'!$L$6:$L$78,"Fail")</f>
        <v/>
      </c>
      <c r="E13" s="5">
        <f>COUNTIFS('Core Test Cases (A1)'!$B$6:$B$30,$A13,'Core Test Cases (A1)'!$L$6:$L$30,"Not Run")+COUNTIFS('Extended Test Cases'!$B$6:$B$78,$A13,'Extended Test Cases'!$L$6:$L$78,"Not Run")</f>
        <v/>
      </c>
    </row>
    <row r="14">
      <c r="A14" s="4" t="inlineStr">
        <is>
          <t>Product Detail</t>
        </is>
      </c>
      <c r="B14" s="5">
        <f>COUNTIF('Core Test Cases (A1)'!$B$6:$B$30,$A14)+COUNTIF('Extended Test Cases'!$B$6:$B$78,$A14)</f>
        <v/>
      </c>
      <c r="C14" s="5">
        <f>COUNTIFS('Core Test Cases (A1)'!$B$6:$B$30,$A14,'Core Test Cases (A1)'!$L$6:$L$30,"Pass")+COUNTIFS('Extended Test Cases'!$B$6:$B$78,$A14,'Extended Test Cases'!$L$6:$L$78,"Pass")</f>
        <v/>
      </c>
      <c r="D14" s="5">
        <f>COUNTIFS('Core Test Cases (A1)'!$B$6:$B$30,$A14,'Core Test Cases (A1)'!$L$6:$L$30,"Fail")+COUNTIFS('Extended Test Cases'!$B$6:$B$78,$A14,'Extended Test Cases'!$L$6:$L$78,"Fail")</f>
        <v/>
      </c>
      <c r="E14" s="5">
        <f>COUNTIFS('Core Test Cases (A1)'!$B$6:$B$30,$A14,'Core Test Cases (A1)'!$L$6:$L$30,"Not Run")+COUNTIFS('Extended Test Cases'!$B$6:$B$78,$A14,'Extended Test Cases'!$L$6:$L$78,"Not Run")</f>
        <v/>
      </c>
    </row>
    <row r="15">
      <c r="A15" s="4" t="inlineStr">
        <is>
          <t>Cart</t>
        </is>
      </c>
      <c r="B15" s="5">
        <f>COUNTIF('Core Test Cases (A1)'!$B$6:$B$30,$A15)+COUNTIF('Extended Test Cases'!$B$6:$B$78,$A15)</f>
        <v/>
      </c>
      <c r="C15" s="5">
        <f>COUNTIFS('Core Test Cases (A1)'!$B$6:$B$30,$A15,'Core Test Cases (A1)'!$L$6:$L$30,"Pass")+COUNTIFS('Extended Test Cases'!$B$6:$B$78,$A15,'Extended Test Cases'!$L$6:$L$78,"Pass")</f>
        <v/>
      </c>
      <c r="D15" s="5">
        <f>COUNTIFS('Core Test Cases (A1)'!$B$6:$B$30,$A15,'Core Test Cases (A1)'!$L$6:$L$30,"Fail")+COUNTIFS('Extended Test Cases'!$B$6:$B$78,$A15,'Extended Test Cases'!$L$6:$L$78,"Fail")</f>
        <v/>
      </c>
      <c r="E15" s="5">
        <f>COUNTIFS('Core Test Cases (A1)'!$B$6:$B$30,$A15,'Core Test Cases (A1)'!$L$6:$L$30,"Not Run")+COUNTIFS('Extended Test Cases'!$B$6:$B$78,$A15,'Extended Test Cases'!$L$6:$L$78,"Not Run")</f>
        <v/>
      </c>
    </row>
    <row r="16">
      <c r="A16" s="4" t="inlineStr">
        <is>
          <t>Checkout</t>
        </is>
      </c>
      <c r="B16" s="5">
        <f>COUNTIF('Core Test Cases (A1)'!$B$6:$B$30,$A16)+COUNTIF('Extended Test Cases'!$B$6:$B$78,$A16)</f>
        <v/>
      </c>
      <c r="C16" s="5">
        <f>COUNTIFS('Core Test Cases (A1)'!$B$6:$B$30,$A16,'Core Test Cases (A1)'!$L$6:$L$30,"Pass")+COUNTIFS('Extended Test Cases'!$B$6:$B$78,$A16,'Extended Test Cases'!$L$6:$L$78,"Pass")</f>
        <v/>
      </c>
      <c r="D16" s="5">
        <f>COUNTIFS('Core Test Cases (A1)'!$B$6:$B$30,$A16,'Core Test Cases (A1)'!$L$6:$L$30,"Fail")+COUNTIFS('Extended Test Cases'!$B$6:$B$78,$A16,'Extended Test Cases'!$L$6:$L$78,"Fail")</f>
        <v/>
      </c>
      <c r="E16" s="5">
        <f>COUNTIFS('Core Test Cases (A1)'!$B$6:$B$30,$A16,'Core Test Cases (A1)'!$L$6:$L$30,"Not Run")+COUNTIFS('Extended Test Cases'!$B$6:$B$78,$A16,'Extended Test Cases'!$L$6:$L$78,"Not Run")</f>
        <v/>
      </c>
    </row>
    <row r="17">
      <c r="A17" s="4" t="inlineStr">
        <is>
          <t>Order Total</t>
        </is>
      </c>
      <c r="B17" s="5">
        <f>COUNTIF('Core Test Cases (A1)'!$B$6:$B$30,$A17)+COUNTIF('Extended Test Cases'!$B$6:$B$78,$A17)</f>
        <v/>
      </c>
      <c r="C17" s="5">
        <f>COUNTIFS('Core Test Cases (A1)'!$B$6:$B$30,$A17,'Core Test Cases (A1)'!$L$6:$L$30,"Pass")+COUNTIFS('Extended Test Cases'!$B$6:$B$78,$A17,'Extended Test Cases'!$L$6:$L$78,"Pass")</f>
        <v/>
      </c>
      <c r="D17" s="5">
        <f>COUNTIFS('Core Test Cases (A1)'!$B$6:$B$30,$A17,'Core Test Cases (A1)'!$L$6:$L$30,"Fail")+COUNTIFS('Extended Test Cases'!$B$6:$B$78,$A17,'Extended Test Cases'!$L$6:$L$78,"Fail")</f>
        <v/>
      </c>
      <c r="E17" s="5">
        <f>COUNTIFS('Core Test Cases (A1)'!$B$6:$B$30,$A17,'Core Test Cases (A1)'!$L$6:$L$30,"Not Run")+COUNTIFS('Extended Test Cases'!$B$6:$B$78,$A17,'Extended Test Cases'!$L$6:$L$78,"Not Run")</f>
        <v/>
      </c>
    </row>
    <row r="18">
      <c r="A18" s="4" t="inlineStr">
        <is>
          <t>Order Completion</t>
        </is>
      </c>
      <c r="B18" s="5">
        <f>COUNTIF('Core Test Cases (A1)'!$B$6:$B$30,$A18)+COUNTIF('Extended Test Cases'!$B$6:$B$78,$A18)</f>
        <v/>
      </c>
      <c r="C18" s="5">
        <f>COUNTIFS('Core Test Cases (A1)'!$B$6:$B$30,$A18,'Core Test Cases (A1)'!$L$6:$L$30,"Pass")+COUNTIFS('Extended Test Cases'!$B$6:$B$78,$A18,'Extended Test Cases'!$L$6:$L$78,"Pass")</f>
        <v/>
      </c>
      <c r="D18" s="5">
        <f>COUNTIFS('Core Test Cases (A1)'!$B$6:$B$30,$A18,'Core Test Cases (A1)'!$L$6:$L$30,"Fail")+COUNTIFS('Extended Test Cases'!$B$6:$B$78,$A18,'Extended Test Cases'!$L$6:$L$78,"Fail")</f>
        <v/>
      </c>
      <c r="E18" s="5">
        <f>COUNTIFS('Core Test Cases (A1)'!$B$6:$B$30,$A18,'Core Test Cases (A1)'!$L$6:$L$30,"Not Run")+COUNTIFS('Extended Test Cases'!$B$6:$B$78,$A18,'Extended Test Cases'!$L$6:$L$78,"Not Run")</f>
        <v/>
      </c>
    </row>
    <row r="19">
      <c r="A19" s="4" t="inlineStr">
        <is>
          <t>Navigation</t>
        </is>
      </c>
      <c r="B19" s="5">
        <f>COUNTIF('Core Test Cases (A1)'!$B$6:$B$30,$A19)+COUNTIF('Extended Test Cases'!$B$6:$B$78,$A19)</f>
        <v/>
      </c>
      <c r="C19" s="5">
        <f>COUNTIFS('Core Test Cases (A1)'!$B$6:$B$30,$A19,'Core Test Cases (A1)'!$L$6:$L$30,"Pass")+COUNTIFS('Extended Test Cases'!$B$6:$B$78,$A19,'Extended Test Cases'!$L$6:$L$78,"Pass")</f>
        <v/>
      </c>
      <c r="D19" s="5">
        <f>COUNTIFS('Core Test Cases (A1)'!$B$6:$B$30,$A19,'Core Test Cases (A1)'!$L$6:$L$30,"Fail")+COUNTIFS('Extended Test Cases'!$B$6:$B$78,$A19,'Extended Test Cases'!$L$6:$L$78,"Fail")</f>
        <v/>
      </c>
      <c r="E19" s="5">
        <f>COUNTIFS('Core Test Cases (A1)'!$B$6:$B$30,$A19,'Core Test Cases (A1)'!$L$6:$L$30,"Not Run")+COUNTIFS('Extended Test Cases'!$B$6:$B$78,$A19,'Extended Test Cases'!$L$6:$L$78,"Not Run")</f>
        <v/>
      </c>
    </row>
    <row r="20">
      <c r="A20" s="4" t="inlineStr">
        <is>
          <t>Session</t>
        </is>
      </c>
      <c r="B20" s="5">
        <f>COUNTIF('Core Test Cases (A1)'!$B$6:$B$30,$A20)+COUNTIF('Extended Test Cases'!$B$6:$B$78,$A20)</f>
        <v/>
      </c>
      <c r="C20" s="5">
        <f>COUNTIFS('Core Test Cases (A1)'!$B$6:$B$30,$A20,'Core Test Cases (A1)'!$L$6:$L$30,"Pass")+COUNTIFS('Extended Test Cases'!$B$6:$B$78,$A20,'Extended Test Cases'!$L$6:$L$78,"Pass")</f>
        <v/>
      </c>
      <c r="D20" s="5">
        <f>COUNTIFS('Core Test Cases (A1)'!$B$6:$B$30,$A20,'Core Test Cases (A1)'!$L$6:$L$30,"Fail")+COUNTIFS('Extended Test Cases'!$B$6:$B$78,$A20,'Extended Test Cases'!$L$6:$L$78,"Fail")</f>
        <v/>
      </c>
      <c r="E20" s="5">
        <f>COUNTIFS('Core Test Cases (A1)'!$B$6:$B$30,$A20,'Core Test Cases (A1)'!$L$6:$L$30,"Not Run")+COUNTIFS('Extended Test Cases'!$B$6:$B$78,$A20,'Extended Test Cases'!$L$6:$L$78,"Not Run")</f>
        <v/>
      </c>
    </row>
    <row r="21">
      <c r="A21" s="4" t="inlineStr">
        <is>
          <t>Accessibility</t>
        </is>
      </c>
      <c r="B21" s="5">
        <f>COUNTIF('Core Test Cases (A1)'!$B$6:$B$30,$A21)+COUNTIF('Extended Test Cases'!$B$6:$B$78,$A21)</f>
        <v/>
      </c>
      <c r="C21" s="5">
        <f>COUNTIFS('Core Test Cases (A1)'!$B$6:$B$30,$A21,'Core Test Cases (A1)'!$L$6:$L$30,"Pass")+COUNTIFS('Extended Test Cases'!$B$6:$B$78,$A21,'Extended Test Cases'!$L$6:$L$78,"Pass")</f>
        <v/>
      </c>
      <c r="D21" s="5">
        <f>COUNTIFS('Core Test Cases (A1)'!$B$6:$B$30,$A21,'Core Test Cases (A1)'!$L$6:$L$30,"Fail")+COUNTIFS('Extended Test Cases'!$B$6:$B$78,$A21,'Extended Test Cases'!$L$6:$L$78,"Fail")</f>
        <v/>
      </c>
      <c r="E21" s="5">
        <f>COUNTIFS('Core Test Cases (A1)'!$B$6:$B$30,$A21,'Core Test Cases (A1)'!$L$6:$L$30,"Not Run")+COUNTIFS('Extended Test Cases'!$B$6:$B$78,$A21,'Extended Test Cases'!$L$6:$L$78,"Not Run")</f>
        <v/>
      </c>
    </row>
    <row r="22">
      <c r="A22" s="4" t="inlineStr">
        <is>
          <t>Screen size</t>
        </is>
      </c>
      <c r="B22" s="5">
        <f>COUNTIF('Core Test Cases (A1)'!$B$6:$B$30,$A22)+COUNTIF('Extended Test Cases'!$B$6:$B$78,$A22)</f>
        <v/>
      </c>
      <c r="C22" s="5">
        <f>COUNTIFS('Core Test Cases (A1)'!$B$6:$B$30,$A22,'Core Test Cases (A1)'!$L$6:$L$30,"Pass")+COUNTIFS('Extended Test Cases'!$B$6:$B$78,$A22,'Extended Test Cases'!$L$6:$L$78,"Pass")</f>
        <v/>
      </c>
      <c r="D22" s="5">
        <f>COUNTIFS('Core Test Cases (A1)'!$B$6:$B$30,$A22,'Core Test Cases (A1)'!$L$6:$L$30,"Fail")+COUNTIFS('Extended Test Cases'!$B$6:$B$78,$A22,'Extended Test Cases'!$L$6:$L$78,"Fail")</f>
        <v/>
      </c>
      <c r="E22" s="5">
        <f>COUNTIFS('Core Test Cases (A1)'!$B$6:$B$30,$A22,'Core Test Cases (A1)'!$L$6:$L$30,"Not Run")+COUNTIFS('Extended Test Cases'!$B$6:$B$78,$A22,'Extended Test Cases'!$L$6:$L$78,"Not Run")</f>
        <v/>
      </c>
    </row>
    <row r="23">
      <c r="A23" s="4" t="inlineStr">
        <is>
          <t>Personas</t>
        </is>
      </c>
      <c r="B23" s="5">
        <f>COUNTIF('Core Test Cases (A1)'!$B$6:$B$30,$A23)+COUNTIF('Extended Test Cases'!$B$6:$B$78,$A23)</f>
        <v/>
      </c>
      <c r="C23" s="5">
        <f>COUNTIFS('Core Test Cases (A1)'!$B$6:$B$30,$A23,'Core Test Cases (A1)'!$L$6:$L$30,"Pass")+COUNTIFS('Extended Test Cases'!$B$6:$B$78,$A23,'Extended Test Cases'!$L$6:$L$78,"Pass")</f>
        <v/>
      </c>
      <c r="D23" s="5">
        <f>COUNTIFS('Core Test Cases (A1)'!$B$6:$B$30,$A23,'Core Test Cases (A1)'!$L$6:$L$30,"Fail")+COUNTIFS('Extended Test Cases'!$B$6:$B$78,$A23,'Extended Test Cases'!$L$6:$L$78,"Fail")</f>
        <v/>
      </c>
      <c r="E23" s="5">
        <f>COUNTIFS('Core Test Cases (A1)'!$B$6:$B$30,$A23,'Core Test Cases (A1)'!$L$6:$L$30,"Not Run")+COUNTIFS('Extended Test Cases'!$B$6:$B$78,$A23,'Extended Test Cases'!$L$6:$L$78,"Not Run")</f>
        <v/>
      </c>
    </row>
    <row r="24">
      <c r="A24" s="6" t="inlineStr">
        <is>
          <t>Total</t>
        </is>
      </c>
      <c r="B24" s="7">
        <f>SUM(B11:B23)</f>
        <v/>
      </c>
      <c r="C24" s="7">
        <f>SUM(C11:C23)</f>
        <v/>
      </c>
      <c r="D24" s="7">
        <f>SUM(D11:D23)</f>
        <v/>
      </c>
      <c r="E24" s="7">
        <f>SUM(E11:E23)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13" customWidth="1" min="3" max="3"/>
    <col width="32" customWidth="1" min="4" max="4"/>
    <col width="26" customWidth="1" min="5" max="5"/>
    <col width="50" customWidth="1" min="6" max="6"/>
    <col width="30" customWidth="1" min="7" max="7"/>
    <col width="56" customWidth="1" min="8" max="8"/>
    <col width="10" customWidth="1" min="9" max="9"/>
    <col width="34" customWidth="1" min="10" max="10"/>
    <col width="40" customWidth="1" min="11" max="11"/>
    <col width="10" customWidth="1" min="12" max="12"/>
    <col width="9" customWidth="1" min="13" max="13"/>
    <col width="36" customWidth="1" min="14" max="14"/>
  </cols>
  <sheetData>
    <row r="1">
      <c r="A1" s="1" t="inlineStr">
        <is>
          <t>Core Test Cases - Section A1 (25 cases)</t>
        </is>
      </c>
    </row>
    <row r="2">
      <c r="A2" s="2" t="inlineStr">
        <is>
          <t>Use case: Shop and check out. These 25 cases cover every business rule in the brief.</t>
        </is>
      </c>
    </row>
    <row r="3">
      <c r="A3" s="2" t="inlineStr">
        <is>
          <t>Website: https://www.saucedemo.com   |   Password for all users: secret_sauce   |   Tested on 27-28 Oct 2026 in Chrome, Firefox and Safari. Pass = worked in all three browsers. Bug ID "N/A" = no bug found.</t>
        </is>
      </c>
    </row>
    <row r="5" ht="32" customHeight="1">
      <c r="A5" s="3" t="inlineStr">
        <is>
          <t>ID</t>
        </is>
      </c>
      <c r="B5" s="3" t="inlineStr">
        <is>
          <t>Area</t>
        </is>
      </c>
      <c r="C5" s="3" t="inlineStr">
        <is>
          <t>Type</t>
        </is>
      </c>
      <c r="D5" s="3" t="inlineStr">
        <is>
          <t>Title</t>
        </is>
      </c>
      <c r="E5" s="3" t="inlineStr">
        <is>
          <t>Pre-conditions</t>
        </is>
      </c>
      <c r="F5" s="3" t="inlineStr">
        <is>
          <t>Steps</t>
        </is>
      </c>
      <c r="G5" s="3" t="inlineStr">
        <is>
          <t>Test data</t>
        </is>
      </c>
      <c r="H5" s="3" t="inlineStr">
        <is>
          <t>Expected result</t>
        </is>
      </c>
      <c r="I5" s="3" t="inlineStr">
        <is>
          <t>Priority (P1-P3)</t>
        </is>
      </c>
      <c r="J5" s="3" t="inlineStr">
        <is>
          <t>Automate? (Yes / No) and why</t>
        </is>
      </c>
      <c r="K5" s="3" t="inlineStr">
        <is>
          <t>Actual Result</t>
        </is>
      </c>
      <c r="L5" s="3" t="inlineStr">
        <is>
          <t>Status</t>
        </is>
      </c>
      <c r="M5" s="3" t="inlineStr">
        <is>
          <t>Bug ID</t>
        </is>
      </c>
      <c r="N5" s="3" t="inlineStr">
        <is>
          <t>Remarks</t>
        </is>
      </c>
    </row>
    <row r="6">
      <c r="A6" s="5" t="inlineStr">
        <is>
          <t>TC01</t>
        </is>
      </c>
      <c r="B6" s="5" t="inlineStr">
        <is>
          <t>Login</t>
        </is>
      </c>
      <c r="C6" s="5" t="inlineStr">
        <is>
          <t>Positive</t>
        </is>
      </c>
      <c r="D6" s="4" t="inlineStr">
        <is>
          <t>Login with a valid user</t>
        </is>
      </c>
      <c r="E6" s="4" t="inlineStr">
        <is>
          <t>Use a NEW private / incognito browser window (so the cart is empty and no one is logged in).</t>
        </is>
      </c>
      <c r="F6" s="4" t="inlineStr">
        <is>
          <t>1. Open https://www.saucedemo.com
2. Enter "standard_user" in Username and "secret_sauce" in Password
3. Click Login
4. Look at the page</t>
        </is>
      </c>
      <c r="G6" s="4" t="inlineStr">
        <is>
          <t>Username: standard_user
Password: secret_sauce</t>
        </is>
      </c>
      <c r="H6" s="4" t="inlineStr">
        <is>
          <t>1. Login page shows the Username field, Password field and Login button.
2. Text is typed. Password shows as dots.
3. Products page opens. URL ends with /inventory.html. Title is "Products". Products are listed. No cart number on the cart icon.
4. Menu button (☰) is visible. No error message is shown.</t>
        </is>
      </c>
      <c r="I6" s="5" t="inlineStr">
        <is>
          <t>P1</t>
        </is>
      </c>
      <c r="J6" s="4" t="inlineStr">
        <is>
          <t>Yes - smoke test for every build; every journey starts with login.</t>
        </is>
      </c>
      <c r="K6" s="4" t="inlineStr">
        <is>
          <t>As expected - Menu button (☰) is visible. No error message is shown.</t>
        </is>
      </c>
      <c r="L6" s="5" t="inlineStr">
        <is>
          <t>Pass</t>
        </is>
      </c>
      <c r="M6" s="5" t="inlineStr">
        <is>
          <t>N/A</t>
        </is>
      </c>
      <c r="N6" s="4" t="inlineStr"/>
    </row>
    <row r="7">
      <c r="A7" s="5" t="inlineStr">
        <is>
          <t>TC02</t>
        </is>
      </c>
      <c r="B7" s="5" t="inlineStr">
        <is>
          <t>Login</t>
        </is>
      </c>
      <c r="C7" s="5" t="inlineStr">
        <is>
          <t>Negative</t>
        </is>
      </c>
      <c r="D7" s="4" t="inlineStr">
        <is>
          <t>Login with a locked user</t>
        </is>
      </c>
      <c r="E7" s="4" t="inlineStr">
        <is>
          <t>Use a NEW private / incognito browser window (so the cart is empty and no one is logged in).</t>
        </is>
      </c>
      <c r="F7" s="4" t="inlineStr">
        <is>
          <t>1. Open https://www.saucedemo.com
2. Enter "locked_out_user" and "secret_sauce"
3. Click Login
4. Look at the page and the URL</t>
        </is>
      </c>
      <c r="G7" s="4" t="inlineStr">
        <is>
          <t>Username: locked_out_user
Password: secret_sauce</t>
        </is>
      </c>
      <c r="H7" s="4" t="inlineStr">
        <is>
          <t>1. Login page is shown.
2. Text is typed.
3. Error shown: "Epic sadface: Sorry, this user has been locked out."
4. Still on the login page (Username, Password, Login visible). URL does NOT contain /inventory.html. "Products" title is NOT shown.</t>
        </is>
      </c>
      <c r="I7" s="5" t="inlineStr">
        <is>
          <t>P1</t>
        </is>
      </c>
      <c r="J7" s="4" t="inlineStr">
        <is>
          <t>Yes - access-control rule with an exact error message.</t>
        </is>
      </c>
      <c r="K7" s="4" t="inlineStr">
        <is>
          <t>As expected - error "Epic sadface: Sorry, this user has been locked out." was shown and the user stayed on the login page.</t>
        </is>
      </c>
      <c r="L7" s="5" t="inlineStr">
        <is>
          <t>Pass</t>
        </is>
      </c>
      <c r="M7" s="5" t="inlineStr">
        <is>
          <t>N/A</t>
        </is>
      </c>
      <c r="N7" s="4" t="inlineStr"/>
    </row>
    <row r="8">
      <c r="A8" s="5" t="inlineStr">
        <is>
          <t>TC03</t>
        </is>
      </c>
      <c r="B8" s="5" t="inlineStr">
        <is>
          <t>Login</t>
        </is>
      </c>
      <c r="C8" s="5" t="inlineStr">
        <is>
          <t>Negative</t>
        </is>
      </c>
      <c r="D8" s="4" t="inlineStr">
        <is>
          <t>Login with a wrong password</t>
        </is>
      </c>
      <c r="E8" s="4" t="inlineStr">
        <is>
          <t>Use a NEW private / incognito browser window (so the cart is empty and no one is logged in).</t>
        </is>
      </c>
      <c r="F8" s="4" t="inlineStr">
        <is>
          <t>1. Open https://www.saucedemo.com
2. Enter "standard_user" and "not_the_demo_password"
3. Click Login
4. Look at the page and the URL</t>
        </is>
      </c>
      <c r="G8" s="4" t="inlineStr">
        <is>
          <t>Username: standard_user
Password: not_the_demo_password</t>
        </is>
      </c>
      <c r="H8" s="4" t="inlineStr">
        <is>
          <t>1. Login page is shown.
2. Text is typed.
3. Error shown: "Epic sadface: Username and password do not match any user in this service"
4. Still on the login page. URL does NOT contain /inventory.html. "Products" title is NOT shown.</t>
        </is>
      </c>
      <c r="I8" s="5" t="inlineStr">
        <is>
          <t>P1</t>
        </is>
      </c>
      <c r="J8" s="4" t="inlineStr">
        <is>
          <t>Yes - access-control rule; cheap and stable.</t>
        </is>
      </c>
      <c r="K8" s="4" t="inlineStr">
        <is>
          <t>As expected - error "Epic sadface: Username and password do not match any user in this service" was shown and the user stayed on the login page.</t>
        </is>
      </c>
      <c r="L8" s="5" t="inlineStr">
        <is>
          <t>Pass</t>
        </is>
      </c>
      <c r="M8" s="5" t="inlineStr">
        <is>
          <t>N/A</t>
        </is>
      </c>
      <c r="N8" s="4" t="inlineStr"/>
    </row>
    <row r="9">
      <c r="A9" s="5" t="inlineStr">
        <is>
          <t>TC04</t>
        </is>
      </c>
      <c r="B9" s="5" t="inlineStr">
        <is>
          <t>Login</t>
        </is>
      </c>
      <c r="C9" s="5" t="inlineStr">
        <is>
          <t>Negative / Boundary</t>
        </is>
      </c>
      <c r="D9" s="4" t="inlineStr">
        <is>
          <t>Login with both fields empty</t>
        </is>
      </c>
      <c r="E9" s="4" t="inlineStr">
        <is>
          <t>Use a NEW private / incognito browser window (so the cart is empty and no one is logged in).</t>
        </is>
      </c>
      <c r="F9" s="4" t="inlineStr">
        <is>
          <t>1. Open https://www.saucedemo.com
2. Leave Username and Password empty
3. Click Login
4. Look at the page and the URL</t>
        </is>
      </c>
      <c r="G9" s="4" t="inlineStr">
        <is>
          <t>Username: (empty)
Password: (empty)</t>
        </is>
      </c>
      <c r="H9" s="4" t="inlineStr">
        <is>
          <t>1. Login page is shown.
2. Both fields are empty.
3. Error shown: "Epic sadface: Username is required"
4. Still on the login page. URL does NOT contain /inventory.html.</t>
        </is>
      </c>
      <c r="I9" s="5" t="inlineStr">
        <is>
          <t>P2</t>
        </is>
      </c>
      <c r="J9" s="4" t="inlineStr">
        <is>
          <t>Yes - required-field rule; fast and stable.</t>
        </is>
      </c>
      <c r="K9" s="4" t="inlineStr">
        <is>
          <t>As expected - error "Epic sadface: Username is required" was shown and the user stayed on the login page.</t>
        </is>
      </c>
      <c r="L9" s="5" t="inlineStr">
        <is>
          <t>Pass</t>
        </is>
      </c>
      <c r="M9" s="5" t="inlineStr">
        <is>
          <t>N/A</t>
        </is>
      </c>
      <c r="N9" s="4" t="inlineStr"/>
    </row>
    <row r="10">
      <c r="A10" s="5" t="inlineStr">
        <is>
          <t>TC05</t>
        </is>
      </c>
      <c r="B10" s="5" t="inlineStr">
        <is>
          <t>Sorting</t>
        </is>
      </c>
      <c r="C10" s="5" t="inlineStr">
        <is>
          <t>Positive</t>
        </is>
      </c>
      <c r="D10" s="4" t="inlineStr">
        <is>
          <t>Sort by "Name (A to Z)"</t>
        </is>
      </c>
      <c r="E10" s="4" t="inlineStr">
        <is>
          <t>Use a NEW private / incognito browser window (so the cart is empty and no one is logged in).</t>
        </is>
      </c>
      <c r="F10" s="4" t="inlineStr">
        <is>
          <t>1. Open https://www.saucedemo.com
2. Enter "standard_user" in Username and "secret_sauce" in Password
3. Click Login
4. Write down every product name and price
5. In the sort dropdown, select "Name (Z to A)"
6. Select "Name (A to Z)"
7. Read every product name from top to bottom
8. Compare the list with the one you wrote down
9. Look at the sort dropdown</t>
        </is>
      </c>
      <c r="G10" s="4" t="inlineStr">
        <is>
          <t>User: standard_user
6 products (two cost $15.99)</t>
        </is>
      </c>
      <c r="H10" s="4" t="inlineStr">
        <is>
          <t>1. Login page shows the Username field, Password field and Login button.
2. Text is typed. Password shows as dots.
3. Products page opens. URL ends with /inventory.html. Title is "Products". Products are listed. No cart number on the cart icon.
4. 6 products are listed.
5. The list re-orders.
6. The list re-orders.
7. Every name comes before (or equals) the next one, A to Z.
8. Same 6 products with the same prices. Nothing missing, added or re-priced.
9. It shows "Name (A to Z)".</t>
        </is>
      </c>
      <c r="I10" s="5" t="inlineStr">
        <is>
          <t>P2</t>
        </is>
      </c>
      <c r="J10" s="4" t="inlineStr">
        <is>
          <t>Yes - checking every product in order is slow and error-prone by hand.</t>
        </is>
      </c>
      <c r="K10" s="4" t="inlineStr">
        <is>
          <t>As expected - all 6 names were in A to Z order, nothing was missing, and the dropdown showed "Name (A to Z)".</t>
        </is>
      </c>
      <c r="L10" s="5" t="inlineStr">
        <is>
          <t>Pass</t>
        </is>
      </c>
      <c r="M10" s="5" t="inlineStr">
        <is>
          <t>N/A</t>
        </is>
      </c>
      <c r="N10" s="4" t="inlineStr"/>
    </row>
    <row r="11">
      <c r="A11" s="5" t="inlineStr">
        <is>
          <t>TC06</t>
        </is>
      </c>
      <c r="B11" s="5" t="inlineStr">
        <is>
          <t>Sorting</t>
        </is>
      </c>
      <c r="C11" s="5" t="inlineStr">
        <is>
          <t>Positive</t>
        </is>
      </c>
      <c r="D11" s="4" t="inlineStr">
        <is>
          <t>Sort by "Name (Z to A)"</t>
        </is>
      </c>
      <c r="E11" s="4" t="inlineStr">
        <is>
          <t>Use a NEW private / incognito browser window (so the cart is empty and no one is logged in).</t>
        </is>
      </c>
      <c r="F11" s="4" t="inlineStr">
        <is>
          <t>1. Open https://www.saucedemo.com
2. Enter "standard_user" in Username and "secret_sauce" in Password
3. Click Login
4. Write down every product name and price
5. In the sort dropdown, select "Name (A to Z)"
6. Select "Name (Z to A)"
7. Read every product name from top to bottom
8. Compare the list with the one you wrote down
9. Look at the sort dropdown</t>
        </is>
      </c>
      <c r="G11" s="4" t="inlineStr">
        <is>
          <t>User: standard_user
6 products (two cost $15.99)</t>
        </is>
      </c>
      <c r="H11" s="4" t="inlineStr">
        <is>
          <t>1. Login page shows the Username field, Password field and Login button.
2. Text is typed. Password shows as dots.
3. Products page opens. URL ends with /inventory.html. Title is "Products". Products are listed. No cart number on the cart icon.
4. 6 products are listed.
5. The list re-orders.
6. The list re-orders.
7. Every name comes after (or equals) the next one, Z to A.
8. Same 6 products with the same prices. Nothing missing, added or re-priced.
9. It shows "Name (Z to A)".</t>
        </is>
      </c>
      <c r="I11" s="5" t="inlineStr">
        <is>
          <t>P2</t>
        </is>
      </c>
      <c r="J11" s="4" t="inlineStr">
        <is>
          <t>Yes - whole-list check, easy to repeat on every build.</t>
        </is>
      </c>
      <c r="K11" s="4" t="inlineStr">
        <is>
          <t>As expected - all 6 names were in Z to A order, nothing was missing, and the dropdown showed "Name (Z to A)".</t>
        </is>
      </c>
      <c r="L11" s="5" t="inlineStr">
        <is>
          <t>Pass</t>
        </is>
      </c>
      <c r="M11" s="5" t="inlineStr">
        <is>
          <t>N/A</t>
        </is>
      </c>
      <c r="N11" s="4" t="inlineStr"/>
    </row>
    <row r="12">
      <c r="A12" s="5" t="inlineStr">
        <is>
          <t>TC07</t>
        </is>
      </c>
      <c r="B12" s="5" t="inlineStr">
        <is>
          <t>Sorting</t>
        </is>
      </c>
      <c r="C12" s="5" t="inlineStr">
        <is>
          <t>Positive</t>
        </is>
      </c>
      <c r="D12" s="4" t="inlineStr">
        <is>
          <t>Sort by "Price (low to high)"</t>
        </is>
      </c>
      <c r="E12" s="4" t="inlineStr">
        <is>
          <t>Use a NEW private / incognito browser window (so the cart is empty and no one is logged in).</t>
        </is>
      </c>
      <c r="F12" s="4" t="inlineStr">
        <is>
          <t>1. Open https://www.saucedemo.com
2. Enter "standard_user" in Username and "secret_sauce" in Password
3. Click Login
4. Write down every product name and price
5. In the sort dropdown, select "Price (high to low)"
6. Select "Price (low to high)"
7. Read every price from top to bottom
8. Compare the list with the one you wrote down
9. Look at the sort dropdown</t>
        </is>
      </c>
      <c r="G12" s="4" t="inlineStr">
        <is>
          <t>User: standard_user
6 products (two cost $15.99)</t>
        </is>
      </c>
      <c r="H12" s="4" t="inlineStr">
        <is>
          <t>1. Login page shows the Username field, Password field and Login button.
2. Text is typed. Password shows as dots.
3. Products page opens. URL ends with /inventory.html. Title is "Products". Products are listed. No cart number on the cart icon.
4. 6 products are listed.
5. The list re-orders.
6. The list re-orders.
7. Every price is lower than or equal to the next: $7.99, $9.99, $15.99, $15.99, $29.99, $49.99 (the two $15.99 items can be in either order).
8. Same 6 products with the same prices. Nothing missing, added or re-priced.
9. It shows "Price (low to high)".</t>
        </is>
      </c>
      <c r="I12" s="5" t="inlineStr">
        <is>
          <t>P1</t>
        </is>
      </c>
      <c r="J12" s="4" t="inlineStr">
        <is>
          <t>Yes - whole-list check; this is the B3 regression.</t>
        </is>
      </c>
      <c r="K12" s="4" t="inlineStr">
        <is>
          <t>As expected - prices were $7.99, $9.99, $15.99, $15.99, $29.99, $49.99.</t>
        </is>
      </c>
      <c r="L12" s="5" t="inlineStr">
        <is>
          <t>Pass</t>
        </is>
      </c>
      <c r="M12" s="5" t="inlineStr">
        <is>
          <t>N/A</t>
        </is>
      </c>
      <c r="N12" s="4" t="inlineStr"/>
    </row>
    <row r="13">
      <c r="A13" s="5" t="inlineStr">
        <is>
          <t>TC08</t>
        </is>
      </c>
      <c r="B13" s="5" t="inlineStr">
        <is>
          <t>Sorting</t>
        </is>
      </c>
      <c r="C13" s="5" t="inlineStr">
        <is>
          <t>Positive</t>
        </is>
      </c>
      <c r="D13" s="4" t="inlineStr">
        <is>
          <t>Sort by "Price (high to low)"</t>
        </is>
      </c>
      <c r="E13" s="4" t="inlineStr">
        <is>
          <t>Use a NEW private / incognito browser window (so the cart is empty and no one is logged in).</t>
        </is>
      </c>
      <c r="F13" s="4" t="inlineStr">
        <is>
          <t>1. Open https://www.saucedemo.com
2. Enter "standard_user" in Username and "secret_sauce" in Password
3. Click Login
4. Write down every product name and price
5. In the sort dropdown, select "Price (low to high)"
6. Select "Price (high to low)"
7. Read every price from top to bottom
8. Compare the list with the one you wrote down
9. Look at the sort dropdown</t>
        </is>
      </c>
      <c r="G13" s="4" t="inlineStr">
        <is>
          <t>User: standard_user
6 products (two cost $15.99)</t>
        </is>
      </c>
      <c r="H13" s="4" t="inlineStr">
        <is>
          <t>1. Login page shows the Username field, Password field and Login button.
2. Text is typed. Password shows as dots.
3. Products page opens. URL ends with /inventory.html. Title is "Products". Products are listed. No cart number on the cart icon.
4. 6 products are listed.
5. The list re-orders.
6. The list re-orders.
7. Every price is higher than or equal to the next: $49.99, $29.99, $15.99, $15.99, $9.99, $7.99.
8. Same 6 products with the same prices. Nothing missing, added or re-priced.
9. It shows "Price (high to low)".</t>
        </is>
      </c>
      <c r="I13" s="5" t="inlineStr">
        <is>
          <t>P2</t>
        </is>
      </c>
      <c r="J13" s="4" t="inlineStr">
        <is>
          <t>Yes - whole-list check, easy to repeat on every build.</t>
        </is>
      </c>
      <c r="K13" s="4" t="inlineStr">
        <is>
          <t>As expected - prices were $49.99, $29.99, $15.99, $15.99, $9.99, $7.99.</t>
        </is>
      </c>
      <c r="L13" s="5" t="inlineStr">
        <is>
          <t>Pass</t>
        </is>
      </c>
      <c r="M13" s="5" t="inlineStr">
        <is>
          <t>N/A</t>
        </is>
      </c>
      <c r="N13" s="4" t="inlineStr"/>
    </row>
    <row r="14">
      <c r="A14" s="5" t="inlineStr">
        <is>
          <t>TC09</t>
        </is>
      </c>
      <c r="B14" s="5" t="inlineStr">
        <is>
          <t>Cart</t>
        </is>
      </c>
      <c r="C14" s="5" t="inlineStr">
        <is>
          <t>Positive</t>
        </is>
      </c>
      <c r="D14" s="4" t="inlineStr">
        <is>
          <t>Add two products and remove one from the Products page</t>
        </is>
      </c>
      <c r="E14" s="4" t="inlineStr">
        <is>
          <t>Use a NEW private / incognito browser window (so the cart is empty and no one is logged in).</t>
        </is>
      </c>
      <c r="F14" s="4" t="inlineStr">
        <is>
          <t>1. Open https://www.saucedemo.com
2. Enter "standard_user" in Username and "secret_sauce" in Password
3. Click Login
4. Note the prices of Sauce Labs Backpack and Sauce Labs Bike Light
5. Click "Add to cart" on Backpack, then on Bike Light
6. Look at the cart icon
7. On the Products page, click "Remove" on Backpack
8. Look at the cart icon
9. Click the cart icon
10. Check the items in the cart</t>
        </is>
      </c>
      <c r="G14" s="4" t="inlineStr">
        <is>
          <t>User: standard_user
Products: Sauce Labs Backpack ($29.99), Sauce Labs Bike Light ($9.99)</t>
        </is>
      </c>
      <c r="H14" s="4" t="inlineStr">
        <is>
          <t>1. Login page shows the Username field, Password field and Login button.
2. Text is typed. Password shows as dots.
3. Products page opens. URL ends with /inventory.html. Title is "Products". Products are listed. No cart number on the cart icon.
4. Backpack $29.99, Bike Light $9.99.
5. Both buttons change to "Remove".
6. Cart number shows 2.
7. Backpack button changes back to "Add to cart".
8. Cart number shows 1.
9. "Your Cart" page opens. URL ends with /cart.html.
10. Only Sauce Labs Bike Light is in the cart, price $9.99 (same as Products page).</t>
        </is>
      </c>
      <c r="I14" s="5" t="inlineStr">
        <is>
          <t>P1</t>
        </is>
      </c>
      <c r="J14" s="4" t="inlineStr">
        <is>
          <t>Yes - core cart rule (badge and contents).</t>
        </is>
      </c>
      <c r="K14" s="4" t="inlineStr">
        <is>
          <t>As expected - Only Sauce Labs Bike Light is in the cart, price $9.99 (same as Products page).</t>
        </is>
      </c>
      <c r="L14" s="5" t="inlineStr">
        <is>
          <t>Pass</t>
        </is>
      </c>
      <c r="M14" s="5" t="inlineStr">
        <is>
          <t>N/A</t>
        </is>
      </c>
      <c r="N14" s="4" t="inlineStr"/>
    </row>
    <row r="15">
      <c r="A15" s="5" t="inlineStr">
        <is>
          <t>TC10</t>
        </is>
      </c>
      <c r="B15" s="5" t="inlineStr">
        <is>
          <t>Cart</t>
        </is>
      </c>
      <c r="C15" s="5" t="inlineStr">
        <is>
          <t>Positive</t>
        </is>
      </c>
      <c r="D15" s="4" t="inlineStr">
        <is>
          <t>Remove products on the Cart page</t>
        </is>
      </c>
      <c r="E15" s="4" t="inlineStr">
        <is>
          <t>Use a NEW private / incognito browser window (so the cart is empty and no one is logged in).</t>
        </is>
      </c>
      <c r="F15" s="4" t="inlineStr">
        <is>
          <t>1. Open https://www.saucedemo.com
2. Enter "standard_user" in Username and "secret_sauce" in Password
3. Click Login
4. Click "Add to cart" on Bolt T-Shirt and on Onesie
5. Click the cart icon
6. Check the items in the cart
7. Click "Remove" on Bolt T-Shirt
8. Click "Remove" on Onesie</t>
        </is>
      </c>
      <c r="G15" s="4" t="inlineStr">
        <is>
          <t>User: standard_user
Products: Sauce Labs Bolt T-Shirt ($15.99), Sauce Labs Onesie ($7.99)</t>
        </is>
      </c>
      <c r="H15" s="4" t="inlineStr">
        <is>
          <t>1. Login page shows the Username field, Password field and Login button.
2. Text is typed. Password shows as dots.
3. Products page opens. URL ends with /inventory.html. Title is "Products". Products are listed. No cart number on the cart icon.
4. Both buttons change to "Remove".
5. "Your Cart" page opens.
6. Exactly 2 items: Bolt T-Shirt $15.99 and Onesie $7.99.
7. Bolt T-Shirt disappears. Cart number shows 1. Only Onesie $7.99 is left.
8. Onesie disappears. Cart number is gone. Cart list is empty.</t>
        </is>
      </c>
      <c r="I15" s="5" t="inlineStr">
        <is>
          <t>P1</t>
        </is>
      </c>
      <c r="J15" s="4" t="inlineStr">
        <is>
          <t>Yes - core cart rule.</t>
        </is>
      </c>
      <c r="K15" s="4" t="inlineStr">
        <is>
          <t>As expected - Onesie disappears. Cart number is gone. Cart list is empty.</t>
        </is>
      </c>
      <c r="L15" s="5" t="inlineStr">
        <is>
          <t>Pass</t>
        </is>
      </c>
      <c r="M15" s="5" t="inlineStr">
        <is>
          <t>N/A</t>
        </is>
      </c>
      <c r="N15" s="4" t="inlineStr"/>
    </row>
    <row r="16">
      <c r="A16" s="5" t="inlineStr">
        <is>
          <t>TC11</t>
        </is>
      </c>
      <c r="B16" s="5" t="inlineStr">
        <is>
          <t>Cart</t>
        </is>
      </c>
      <c r="C16" s="5" t="inlineStr">
        <is>
          <t>Positive</t>
        </is>
      </c>
      <c r="D16" s="4" t="inlineStr">
        <is>
          <t>New session starts with an empty cart</t>
        </is>
      </c>
      <c r="E16" s="4" t="inlineStr">
        <is>
          <t>Use a NEW private / incognito browser window (so the cart is empty and no one is logged in).</t>
        </is>
      </c>
      <c r="F16" s="4" t="inlineStr">
        <is>
          <t>1. Open https://www.saucedemo.com
2. Enter "standard_user" in Username and "secret_sauce" in Password
3. Click Login
4. Look at the cart icon and the product buttons
5. Click the cart icon
6. Click "Continue Shopping"</t>
        </is>
      </c>
      <c r="G16" s="4" t="inlineStr">
        <is>
          <t>User: standard_user</t>
        </is>
      </c>
      <c r="H16" s="4" t="inlineStr">
        <is>
          <t>1. Login page shows the Username field, Password field and Login button.
2. Text is typed. Password shows as dots.
3. Products page opens. URL ends with /inventory.html. Title is "Products". Products are listed. No cart number on the cart icon.
4. No cart number. No product shows a "Remove" button.
5. "Your Cart" page opens. The cart is empty.
6. Products page opens. No cart number.</t>
        </is>
      </c>
      <c r="I16" s="5" t="inlineStr">
        <is>
          <t>P2</t>
        </is>
      </c>
      <c r="J16" s="4" t="inlineStr">
        <is>
          <t>Yes - cheap check of the empty state.</t>
        </is>
      </c>
      <c r="K16" s="4" t="inlineStr">
        <is>
          <t>As expected - no cart number, the cart was empty, and "Continue Shopping" went back to Products.</t>
        </is>
      </c>
      <c r="L16" s="5" t="inlineStr">
        <is>
          <t>Pass</t>
        </is>
      </c>
      <c r="M16" s="5" t="inlineStr">
        <is>
          <t>N/A</t>
        </is>
      </c>
      <c r="N16" s="4" t="inlineStr"/>
    </row>
    <row r="17">
      <c r="A17" s="5" t="inlineStr">
        <is>
          <t>TC12</t>
        </is>
      </c>
      <c r="B17" s="5" t="inlineStr">
        <is>
          <t>Checkout</t>
        </is>
      </c>
      <c r="C17" s="5" t="inlineStr">
        <is>
          <t>Positive</t>
        </is>
      </c>
      <c r="D17" s="4" t="inlineStr">
        <is>
          <t>Place an order with two products</t>
        </is>
      </c>
      <c r="E17" s="4" t="inlineStr">
        <is>
          <t>Use a NEW private / incognito browser window (so the cart is empty and no one is logged in).</t>
        </is>
      </c>
      <c r="F17" s="4" t="inlineStr">
        <is>
          <t>1. Open https://www.saucedemo.com
2. Enter "standard_user" in Username and "secret_sauce" in Password
3. Click Login
4. Note the prices, then click "Add to cart" on Backpack and Bolt T-Shirt
5. Click the cart icon
6. Click Checkout
7. Enter Test / Customer / 12345 and click Continue
8. Check the items on the Overview
9. Check Item total, Tax and Total
10. Click Finish
11. Click "Back Home"
12. Click the cart icon</t>
        </is>
      </c>
      <c r="G17" s="4" t="inlineStr">
        <is>
          <t>User: standard_user
Products: Sauce Labs Backpack ($29.99), Sauce Labs Bolt T-Shirt ($15.99)
First Name: Test, Last Name: Customer, Zip: 12345</t>
        </is>
      </c>
      <c r="H17" s="4" t="inlineStr">
        <is>
          <t>1. Login page shows the Username field, Password field and Login button.
2. Text is typed. Password shows as dots.
3. Products page opens. URL ends with /inventory.html. Title is "Products". Products are listed. No cart number on the cart icon.
4. Both buttons change to "Remove". Cart number shows 2.
5. "Your Cart" page shows exactly Backpack $29.99 and Bolt T-Shirt $15.99.
6. "Checkout: Your Information" page opens.
7. "Checkout: Overview" page opens. URL ends with /checkout-step-two.html.
8. Exactly Backpack $29.99 and Bolt T-Shirt $15.99.
9. Item total = $29.99 + $15.99 = $45.98. Total = Item total + Tax (to the cent).
10. "Checkout: Complete!" page opens. Message: "Thank you for your order!". No cart number.
11. Products page opens. No cart number. No product shows "Remove".
12. The cart is empty.</t>
        </is>
      </c>
      <c r="I17" s="5" t="inlineStr">
        <is>
          <t>P1</t>
        </is>
      </c>
      <c r="J17" s="4" t="inlineStr">
        <is>
          <t>Yes - main money journey; totals checked to the cent.</t>
        </is>
      </c>
      <c r="K17" s="4" t="inlineStr">
        <is>
          <t>As expected - Item total $45.98 and Total = Item total + Tax. "Thank you for your order!" was shown and the cart was empty afterwards.</t>
        </is>
      </c>
      <c r="L17" s="5" t="inlineStr">
        <is>
          <t>Pass</t>
        </is>
      </c>
      <c r="M17" s="5" t="inlineStr">
        <is>
          <t>N/A</t>
        </is>
      </c>
      <c r="N17" s="4" t="inlineStr"/>
    </row>
    <row r="18">
      <c r="A18" s="5" t="inlineStr">
        <is>
          <t>TC13</t>
        </is>
      </c>
      <c r="B18" s="5" t="inlineStr">
        <is>
          <t>Checkout</t>
        </is>
      </c>
      <c r="C18" s="5" t="inlineStr">
        <is>
          <t>Negative</t>
        </is>
      </c>
      <c r="D18" s="4" t="inlineStr">
        <is>
          <t>Checkout without First Name</t>
        </is>
      </c>
      <c r="E18" s="4" t="inlineStr">
        <is>
          <t>Use a NEW private / incognito browser window (so the cart is empty and no one is logged in).</t>
        </is>
      </c>
      <c r="F18" s="4" t="inlineStr">
        <is>
          <t>1. Open https://www.saucedemo.com
2. Enter "standard_user" in Username and "secret_sauce" in Password
3. Click Login
4. Click "Add to cart" on Sauce Labs Onesie
5. Click the cart icon
6. Click Checkout
7. Leave First Name empty, enter "Customer" and "12345", click Continue
8. Look at the page</t>
        </is>
      </c>
      <c r="G18" s="4" t="inlineStr">
        <is>
          <t>User: standard_user
Product: Sauce Labs Onesie
First Name: (empty), Last Name: Customer, Zip: 12345</t>
        </is>
      </c>
      <c r="H18" s="4" t="inlineStr">
        <is>
          <t>1. Login page shows the Username field, Password field and Login button.
2. Text is typed. Password shows as dots.
3. Products page opens. URL ends with /inventory.html. Title is "Products". Products are listed. No cart number on the cart icon.
4. Button changes to "Remove".
5. "Your Cart" page opens. URL ends with /cart.html.
6. "Checkout: Your Information" page opens. URL ends with /checkout-step-one.html.
7. Error shown: "Error: First Name is required"
8. Still on "Checkout: Your Information" (URL ends with /checkout-step-one.html).</t>
        </is>
      </c>
      <c r="I18" s="5" t="inlineStr">
        <is>
          <t>P1</t>
        </is>
      </c>
      <c r="J18" s="4" t="inlineStr">
        <is>
          <t>Yes - one parameterized test with TC14 and TC15.</t>
        </is>
      </c>
      <c r="K18" s="4" t="inlineStr">
        <is>
          <t>As expected - error "Error: First Name is required" was shown and the user stayed on "Checkout: Your Information".</t>
        </is>
      </c>
      <c r="L18" s="5" t="inlineStr">
        <is>
          <t>Pass</t>
        </is>
      </c>
      <c r="M18" s="5" t="inlineStr">
        <is>
          <t>N/A</t>
        </is>
      </c>
      <c r="N18" s="4" t="inlineStr"/>
    </row>
    <row r="19">
      <c r="A19" s="5" t="inlineStr">
        <is>
          <t>TC14</t>
        </is>
      </c>
      <c r="B19" s="5" t="inlineStr">
        <is>
          <t>Checkout</t>
        </is>
      </c>
      <c r="C19" s="5" t="inlineStr">
        <is>
          <t>Negative</t>
        </is>
      </c>
      <c r="D19" s="4" t="inlineStr">
        <is>
          <t>Checkout without Last Name</t>
        </is>
      </c>
      <c r="E19" s="4" t="inlineStr">
        <is>
          <t>Use a NEW private / incognito browser window (so the cart is empty and no one is logged in).</t>
        </is>
      </c>
      <c r="F19" s="4" t="inlineStr">
        <is>
          <t>1. Open https://www.saucedemo.com
2. Enter "standard_user" in Username and "secret_sauce" in Password
3. Click Login
4. Click "Add to cart" on Sauce Labs Onesie
5. Click the cart icon
6. Click Checkout
7. Enter "Test", leave Last Name empty, enter "12345", click Continue
8. Look at the page</t>
        </is>
      </c>
      <c r="G19" s="4" t="inlineStr">
        <is>
          <t>User: standard_user
Product: Sauce Labs Onesie
First Name: Test, Last Name: (empty), Zip: 12345</t>
        </is>
      </c>
      <c r="H19" s="4" t="inlineStr">
        <is>
          <t>1. Login page shows the Username field, Password field and Login button.
2. Text is typed. Password shows as dots.
3. Products page opens. URL ends with /inventory.html. Title is "Products". Products are listed. No cart number on the cart icon.
4. Button changes to "Remove".
5. "Your Cart" page opens. URL ends with /cart.html.
6. "Checkout: Your Information" page opens. URL ends with /checkout-step-one.html.
7. Error shown: "Error: Last Name is required"
8. Still on "Checkout: Your Information".</t>
        </is>
      </c>
      <c r="I19" s="5" t="inlineStr">
        <is>
          <t>P1</t>
        </is>
      </c>
      <c r="J19" s="4" t="inlineStr">
        <is>
          <t>Yes - one parameterized test with TC13 and TC15.</t>
        </is>
      </c>
      <c r="K19" s="4" t="inlineStr">
        <is>
          <t>As expected - error "Error: Last Name is required" was shown and the user stayed on "Checkout: Your Information".</t>
        </is>
      </c>
      <c r="L19" s="5" t="inlineStr">
        <is>
          <t>Pass</t>
        </is>
      </c>
      <c r="M19" s="5" t="inlineStr">
        <is>
          <t>N/A</t>
        </is>
      </c>
      <c r="N19" s="4" t="inlineStr"/>
    </row>
    <row r="20">
      <c r="A20" s="5" t="inlineStr">
        <is>
          <t>TC15</t>
        </is>
      </c>
      <c r="B20" s="5" t="inlineStr">
        <is>
          <t>Checkout</t>
        </is>
      </c>
      <c r="C20" s="5" t="inlineStr">
        <is>
          <t>Negative</t>
        </is>
      </c>
      <c r="D20" s="4" t="inlineStr">
        <is>
          <t>Checkout without Zip/Postal Code</t>
        </is>
      </c>
      <c r="E20" s="4" t="inlineStr">
        <is>
          <t>Use a NEW private / incognito browser window (so the cart is empty and no one is logged in).</t>
        </is>
      </c>
      <c r="F20" s="4" t="inlineStr">
        <is>
          <t>1. Open https://www.saucedemo.com
2. Enter "standard_user" in Username and "secret_sauce" in Password
3. Click Login
4. Click "Add to cart" on Sauce Labs Onesie
5. Click the cart icon
6. Click Checkout
7. Enter "Test" and "Customer", leave Zip empty, click Continue
8. Look at the page</t>
        </is>
      </c>
      <c r="G20" s="4" t="inlineStr">
        <is>
          <t>User: standard_user
Product: Sauce Labs Onesie
First Name: Test, Last Name: Customer, Zip: (empty)</t>
        </is>
      </c>
      <c r="H20" s="4" t="inlineStr">
        <is>
          <t>1. Login page shows the Username field, Password field and Login button.
2. Text is typed. Password shows as dots.
3. Products page opens. URL ends with /inventory.html. Title is "Products". Products are listed. No cart number on the cart icon.
4. Button changes to "Remove".
5. "Your Cart" page opens. URL ends with /cart.html.
6. "Checkout: Your Information" page opens. URL ends with /checkout-step-one.html.
7. Error shown: "Error: Postal Code is required"
8. Still on "Checkout: Your Information".</t>
        </is>
      </c>
      <c r="I20" s="5" t="inlineStr">
        <is>
          <t>P1</t>
        </is>
      </c>
      <c r="J20" s="4" t="inlineStr">
        <is>
          <t>Yes - one parameterized test with TC13 and TC14.</t>
        </is>
      </c>
      <c r="K20" s="4" t="inlineStr">
        <is>
          <t>As expected - error "Error: Postal Code is required" was shown and the user stayed on "Checkout: Your Information".</t>
        </is>
      </c>
      <c r="L20" s="5" t="inlineStr">
        <is>
          <t>Pass</t>
        </is>
      </c>
      <c r="M20" s="5" t="inlineStr">
        <is>
          <t>N/A</t>
        </is>
      </c>
      <c r="N20" s="4" t="inlineStr"/>
    </row>
    <row r="21">
      <c r="A21" s="5" t="inlineStr">
        <is>
          <t>TC16</t>
        </is>
      </c>
      <c r="B21" s="5" t="inlineStr">
        <is>
          <t>Checkout</t>
        </is>
      </c>
      <c r="C21" s="5" t="inlineStr">
        <is>
          <t>Positive</t>
        </is>
      </c>
      <c r="D21" s="4" t="inlineStr">
        <is>
          <t>Cancel on the "Your Information" page</t>
        </is>
      </c>
      <c r="E21" s="4" t="inlineStr">
        <is>
          <t>Use a NEW private / incognito browser window (so the cart is empty and no one is logged in).</t>
        </is>
      </c>
      <c r="F21" s="4" t="inlineStr">
        <is>
          <t>1. Open https://www.saucedemo.com
2. Enter "standard_user" in Username and "secret_sauce" in Password
3. Click Login
4. Click "Add to cart" on Sauce Labs Fleece Jacket
5. Click the cart icon
6. Click Checkout
7. Click Cancel
8. Check the cart</t>
        </is>
      </c>
      <c r="G21" s="4" t="inlineStr">
        <is>
          <t>User: standard_user
Product: Sauce Labs Fleece Jacket ($49.99)</t>
        </is>
      </c>
      <c r="H21" s="4" t="inlineStr">
        <is>
          <t>1. Login page shows the Username field, Password field and Login button.
2. Text is typed. Password shows as dots.
3. Products page opens. URL ends with /inventory.html. Title is "Products". Products are listed. No cart number on the cart icon.
4. Button changes to "Remove".
5. "Your Cart" page opens. URL ends with /cart.html.
6. "Checkout: Your Information" page opens. URL ends with /checkout-step-one.html.
7. "Your Cart" page opens.
8. Fleece Jacket $49.99 is still in the cart. Cart number shows 1. No order placed.</t>
        </is>
      </c>
      <c r="I21" s="5" t="inlineStr">
        <is>
          <t>P2</t>
        </is>
      </c>
      <c r="J21" s="4" t="inlineStr">
        <is>
          <t>Yes - cancel must never place an order.</t>
        </is>
      </c>
      <c r="K21" s="4" t="inlineStr">
        <is>
          <t>As expected - Fleece Jacket $49.99 is still in the cart. Cart number shows 1. No order placed.</t>
        </is>
      </c>
      <c r="L21" s="5" t="inlineStr">
        <is>
          <t>Pass</t>
        </is>
      </c>
      <c r="M21" s="5" t="inlineStr">
        <is>
          <t>N/A</t>
        </is>
      </c>
      <c r="N21" s="4" t="inlineStr"/>
    </row>
    <row r="22">
      <c r="A22" s="5" t="inlineStr">
        <is>
          <t>TC17</t>
        </is>
      </c>
      <c r="B22" s="5" t="inlineStr">
        <is>
          <t>Checkout</t>
        </is>
      </c>
      <c r="C22" s="5" t="inlineStr">
        <is>
          <t>Positive</t>
        </is>
      </c>
      <c r="D22" s="4" t="inlineStr">
        <is>
          <t>Cancel on the "Overview" page</t>
        </is>
      </c>
      <c r="E22" s="4" t="inlineStr">
        <is>
          <t>Use a NEW private / incognito browser window (so the cart is empty and no one is logged in).</t>
        </is>
      </c>
      <c r="F22" s="4" t="inlineStr">
        <is>
          <t>1. Open https://www.saucedemo.com
2. Enter "standard_user" in Username and "secret_sauce" in Password
3. Click Login
4. Click "Add to cart" on Sauce Labs Backpack and Sauce Labs Onesie
5. Click the cart icon
6. Click Checkout
7. Enter Test / Customer / 12345, click Continue
8. Click Cancel
9. Look at the cart icon
10. Click the cart icon</t>
        </is>
      </c>
      <c r="G22" s="4" t="inlineStr">
        <is>
          <t>User: standard_user
Products: Sauce Labs Backpack ($29.99), Sauce Labs Onesie ($7.99)
First Name: Test, Last Name: Customer, Zip: 12345</t>
        </is>
      </c>
      <c r="H22" s="4" t="inlineStr">
        <is>
          <t>1. Login page shows the Username field, Password field and Login button.
2. Text is typed. Password shows as dots.
3. Products page opens. URL ends with /inventory.html. Title is "Products". Products are listed. No cart number on the cart icon.
4. Button changes to "Remove".
5. "Your Cart" page opens. URL ends with /cart.html.
6. "Checkout: Your Information" page opens. URL ends with /checkout-step-one.html.
7. "Checkout: Overview" page opens.
8. No "Thank you for your order!" message. URL is NOT /checkout-complete.html. Products page opens.
9. Cart number shows 2.
10. Backpack $29.99 and Onesie $7.99 are still in the cart.</t>
        </is>
      </c>
      <c r="I22" s="5" t="inlineStr">
        <is>
          <t>P2</t>
        </is>
      </c>
      <c r="J22" s="4" t="inlineStr">
        <is>
          <t>Yes - cancel must never place an order.</t>
        </is>
      </c>
      <c r="K22" s="4" t="inlineStr">
        <is>
          <t>As expected - no order was placed. Products page opened with cart number 2, and Backpack and Onesie were still in the cart.</t>
        </is>
      </c>
      <c r="L22" s="5" t="inlineStr">
        <is>
          <t>Pass</t>
        </is>
      </c>
      <c r="M22" s="5" t="inlineStr">
        <is>
          <t>N/A</t>
        </is>
      </c>
      <c r="N22" s="4" t="inlineStr"/>
    </row>
    <row r="23">
      <c r="A23" s="5" t="inlineStr">
        <is>
          <t>TC18</t>
        </is>
      </c>
      <c r="B23" s="5" t="inlineStr">
        <is>
          <t>Order Total</t>
        </is>
      </c>
      <c r="C23" s="5" t="inlineStr">
        <is>
          <t>Positive / Boundary</t>
        </is>
      </c>
      <c r="D23" s="4" t="inlineStr">
        <is>
          <t>Order total for all six products</t>
        </is>
      </c>
      <c r="E23" s="4" t="inlineStr">
        <is>
          <t>Use a NEW private / incognito browser window (so the cart is empty and no one is logged in).</t>
        </is>
      </c>
      <c r="F23" s="4" t="inlineStr">
        <is>
          <t>1. Open https://www.saucedemo.com
2. Enter "standard_user" in Username and "secret_sauce" in Password
3. Click Login
4. Click "Add to cart" on all 6 products
5. Click the cart icon
6. Click Checkout, enter Test / Customer / 12345, click Continue
7. Check the items on the Overview
8. Check Item total, Tax and Total
9. Click Finish
10. Click "Back Home"</t>
        </is>
      </c>
      <c r="G23" s="4" t="inlineStr">
        <is>
          <t>User: standard_user
Products: all 6 - Backpack $29.99, Bike Light $9.99, Bolt T-Shirt $15.99, Fleece Jacket $49.99, Onesie $7.99, Test.allTheThings() T-Shirt (Red) $15.99
First Name: Test, Last Name: Customer, Zip: 12345</t>
        </is>
      </c>
      <c r="H23" s="4" t="inlineStr">
        <is>
          <t>1. Login page shows the Username field, Password field and Login button.
2. Text is typed. Password shows as dots.
3. Products page opens. URL ends with /inventory.html. Title is "Products". Products are listed. No cart number on the cart icon.
4. Buttons change to "Remove". Cart number shows 6.
5. "Your Cart" page shows exactly the added products at the Products page prices.
6. "Checkout: Overview" page opens.
7. Exactly the added products at the same prices.
8. Item total = $129.94 (sum of all 6 prices). Total = Item total + Tax (to the cent).
9. Message: "Thank you for your order!"
10. Products page opens. No cart number.</t>
        </is>
      </c>
      <c r="I23" s="5" t="inlineStr">
        <is>
          <t>P1</t>
        </is>
      </c>
      <c r="J23" s="4" t="inlineStr">
        <is>
          <t>Yes - largest basket; boundary for the total rule.</t>
        </is>
      </c>
      <c r="K23" s="4" t="inlineStr">
        <is>
          <t>As expected - Item total $129.94 and Total = Item total + Tax. Order completed, cart empty.</t>
        </is>
      </c>
      <c r="L23" s="5" t="inlineStr">
        <is>
          <t>Pass</t>
        </is>
      </c>
      <c r="M23" s="5" t="inlineStr">
        <is>
          <t>N/A</t>
        </is>
      </c>
      <c r="N23" s="4" t="inlineStr"/>
    </row>
    <row r="24">
      <c r="A24" s="5" t="inlineStr">
        <is>
          <t>TC19</t>
        </is>
      </c>
      <c r="B24" s="5" t="inlineStr">
        <is>
          <t>Order Completion</t>
        </is>
      </c>
      <c r="C24" s="5" t="inlineStr">
        <is>
          <t>Negative</t>
        </is>
      </c>
      <c r="D24" s="4" t="inlineStr">
        <is>
          <t>Double-click Finish</t>
        </is>
      </c>
      <c r="E24" s="4" t="inlineStr">
        <is>
          <t>Use a NEW private / incognito browser window (so the cart is empty and no one is logged in).</t>
        </is>
      </c>
      <c r="F24"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Double-click Finish very fast</t>
        </is>
      </c>
      <c r="G24" s="4" t="inlineStr">
        <is>
          <t>Sauce Labs Onesie</t>
        </is>
      </c>
      <c r="H24"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Only one "Thank you for your order!" page. No error.</t>
        </is>
      </c>
      <c r="I24" s="5" t="inlineStr">
        <is>
          <t>P1</t>
        </is>
      </c>
      <c r="J24" s="4" t="inlineStr">
        <is>
          <t>Yes - for what the user sees; the real order count needs an API or database check.</t>
        </is>
      </c>
      <c r="K24" s="4" t="inlineStr">
        <is>
          <t>As expected - Only one "Thank you for your order!" page. No error.</t>
        </is>
      </c>
      <c r="L24" s="5" t="inlineStr">
        <is>
          <t>Pass</t>
        </is>
      </c>
      <c r="M24" s="5" t="inlineStr">
        <is>
          <t>N/A</t>
        </is>
      </c>
      <c r="N24" s="4" t="inlineStr">
        <is>
          <t>Only one order should be created - needs backend/order list to fully confirm.</t>
        </is>
      </c>
    </row>
    <row r="25">
      <c r="A25" s="5" t="inlineStr">
        <is>
          <t>TC20</t>
        </is>
      </c>
      <c r="B25" s="5" t="inlineStr">
        <is>
          <t>Checkout</t>
        </is>
      </c>
      <c r="C25" s="5" t="inlineStr">
        <is>
          <t>Usability</t>
        </is>
      </c>
      <c r="D25" s="4" t="inlineStr">
        <is>
          <t>Typed values stay after an error</t>
        </is>
      </c>
      <c r="E25" s="4" t="inlineStr">
        <is>
          <t>Use a NEW private / incognito browser window (so the cart is empty and no one is logged in).</t>
        </is>
      </c>
      <c r="F25" s="4" t="inlineStr">
        <is>
          <t>1. Open https://www.saucedemo.com
2. Enter "standard_user" in Username and "secret_sauce" in Password
3. Click Login
4. Click "Add to cart" on Sauce Labs Onesie
5. Click the cart icon, then click Checkout
6. Enter Test and Customer, leave Zip empty, click Continue
7. Look at First Name and Last Name</t>
        </is>
      </c>
      <c r="G25" s="4" t="inlineStr">
        <is>
          <t>First Name: Test, Last Name: Customer, Zip: empty</t>
        </is>
      </c>
      <c r="H25" s="4" t="inlineStr">
        <is>
          <t>1. Login page shows the Username field, Password field and Login button.
2. Text is typed. Password shows as dots.
3. Products page opens. URL ends with /inventory.html. Title is "Products".
4. Button changes to "Remove".
5. "Checkout: Your Information" page opens.
6. Error: "Error: Postal Code is required".
7. They still show "Test" and "Customer".</t>
        </is>
      </c>
      <c r="I25" s="5" t="inlineStr">
        <is>
          <t>P3</t>
        </is>
      </c>
      <c r="J25" s="4" t="inlineStr">
        <is>
          <t>Yes - stable usability check.</t>
        </is>
      </c>
      <c r="K25" s="4" t="inlineStr">
        <is>
          <t>As expected - They still show "Test" and "Customer".</t>
        </is>
      </c>
      <c r="L25" s="5" t="inlineStr">
        <is>
          <t>Pass</t>
        </is>
      </c>
      <c r="M25" s="5" t="inlineStr">
        <is>
          <t>N/A</t>
        </is>
      </c>
      <c r="N25" s="4" t="inlineStr"/>
    </row>
    <row r="26">
      <c r="A26" s="5" t="inlineStr">
        <is>
          <t>TC21</t>
        </is>
      </c>
      <c r="B26" s="5" t="inlineStr">
        <is>
          <t>Session</t>
        </is>
      </c>
      <c r="C26" s="5" t="inlineStr">
        <is>
          <t>Security</t>
        </is>
      </c>
      <c r="D26" s="4" t="inlineStr">
        <is>
          <t>Products page cannot be opened after logout</t>
        </is>
      </c>
      <c r="E26" s="4" t="inlineStr">
        <is>
          <t>Use a NEW private / incognito browser window (so the cart is empty and no one is logged in).</t>
        </is>
      </c>
      <c r="F26" s="4" t="inlineStr">
        <is>
          <t>1. Open https://www.saucedemo.com
2. Enter "standard_user" in Username and "secret_sauce" in Password
3. Click Login
4. Click the menu button (☰), then click Logout
5. Type https://www.saucedemo.com/inventory.html in the address bar and press Enter
6. Look at the page</t>
        </is>
      </c>
      <c r="G26" s="4" t="inlineStr">
        <is>
          <t>User: standard_user
URL: https://www.saucedemo.com/inventory.html</t>
        </is>
      </c>
      <c r="H26" s="4" t="inlineStr">
        <is>
          <t>1. Login page shows the Username field, Password field and Login button.
2. Text is typed. Password shows as dots.
3. Products page opens. URL ends with /inventory.html. Title is "Products". Products are listed. No cart number on the cart icon.
4. Login page is shown.
5. Error shown: "Epic sadface: You can only access '/inventory.html' when you are logged in."
6. Login page is shown. "Products" title is NOT shown. No products are listed.</t>
        </is>
      </c>
      <c r="I26" s="5" t="inlineStr">
        <is>
          <t>P1</t>
        </is>
      </c>
      <c r="J26" s="4" t="inlineStr">
        <is>
          <t>Yes - security rule from the brief (open a page by URL after logout).</t>
        </is>
      </c>
      <c r="K26" s="4" t="inlineStr">
        <is>
          <t>As expected - error "Epic sadface: You can only access '/inventory.html' when you are logged in." was shown on the login page; no products were shown.</t>
        </is>
      </c>
      <c r="L26" s="5" t="inlineStr">
        <is>
          <t>Pass</t>
        </is>
      </c>
      <c r="M26" s="5" t="inlineStr">
        <is>
          <t>N/A</t>
        </is>
      </c>
      <c r="N26" s="4" t="inlineStr"/>
    </row>
    <row r="27">
      <c r="A27" s="5" t="inlineStr">
        <is>
          <t>TC22</t>
        </is>
      </c>
      <c r="B27" s="5" t="inlineStr">
        <is>
          <t>Session</t>
        </is>
      </c>
      <c r="C27" s="5" t="inlineStr">
        <is>
          <t>Security</t>
        </is>
      </c>
      <c r="D27" s="4" t="inlineStr">
        <is>
          <t>Open /cart.html without logging in</t>
        </is>
      </c>
      <c r="E27" s="4" t="inlineStr">
        <is>
          <t>Use a NEW private / incognito browser window (so the cart is empty and no one is logged in). Do NOT log in.</t>
        </is>
      </c>
      <c r="F27" s="4" t="inlineStr">
        <is>
          <t>1. Check you are not logged in (new private window)
2. Type https://www.saucedemo.com/cart.html in the address bar and press Enter
3. Look at the page</t>
        </is>
      </c>
      <c r="G27" s="4" t="inlineStr">
        <is>
          <t>URL: https://www.saucedemo.com/cart.html</t>
        </is>
      </c>
      <c r="H27" s="4" t="inlineStr">
        <is>
          <t>1. No Sauce Demo session is open.
2. Error shown: "Epic sadface: You can only access '/cart.html' when you are logged in."
3. Login page is shown (Username, Password, Login). Cart icon is NOT visible.</t>
        </is>
      </c>
      <c r="I27" s="5" t="inlineStr">
        <is>
          <t>P1</t>
        </is>
      </c>
      <c r="J27" s="4" t="inlineStr">
        <is>
          <t>Yes - security rule; fast and stable.</t>
        </is>
      </c>
      <c r="K27" s="4" t="inlineStr">
        <is>
          <t>As expected - the login page showed "Epic sadface: You can only access '/cart.html' when you are logged in." and the cart icon was not visible.</t>
        </is>
      </c>
      <c r="L27" s="5" t="inlineStr">
        <is>
          <t>Pass</t>
        </is>
      </c>
      <c r="M27" s="5" t="inlineStr">
        <is>
          <t>N/A</t>
        </is>
      </c>
      <c r="N27" s="4" t="inlineStr"/>
    </row>
    <row r="28">
      <c r="A28" s="5" t="inlineStr">
        <is>
          <t>TC23</t>
        </is>
      </c>
      <c r="B28" s="5" t="inlineStr">
        <is>
          <t>Accessibility</t>
        </is>
      </c>
      <c r="C28" s="5" t="inlineStr">
        <is>
          <t>Accessibility</t>
        </is>
      </c>
      <c r="D28" s="4" t="inlineStr">
        <is>
          <t>Log in and add a product using only the keyboard</t>
        </is>
      </c>
      <c r="E28" s="4" t="inlineStr">
        <is>
          <t>Use a NEW private / incognito browser window (so the cart is empty and no one is logged in).</t>
        </is>
      </c>
      <c r="F28" s="4" t="inlineStr">
        <is>
          <t>1. Open https://www.saucedemo.com
2. Press Tab
3. Type "standard_user" and press Tab
4. Type "secret_sauce" and press Enter
5. Move focus to "Add to cart" on Sauce Labs Backpack and press Enter</t>
        </is>
      </c>
      <c r="G28" s="4" t="inlineStr">
        <is>
          <t>standard_user / secret_sauce (no mouse)</t>
        </is>
      </c>
      <c r="H28" s="4" t="inlineStr">
        <is>
          <t>1. Login page is shown.
2. The cursor is in the Username field.
3. The cursor moves to the Password field.
4. Products page opens.
5. Button changes to "Remove". Cart number shows 1.</t>
        </is>
      </c>
      <c r="I28" s="5" t="inlineStr">
        <is>
          <t>P2</t>
        </is>
      </c>
      <c r="J28" s="4" t="inlineStr">
        <is>
          <t>Yes - automated as AC03; screen-reader use stays manual.</t>
        </is>
      </c>
      <c r="K28" s="4" t="inlineStr">
        <is>
          <t>As expected - login and add to cart worked with the keyboard only.</t>
        </is>
      </c>
      <c r="L28" s="5" t="inlineStr">
        <is>
          <t>Pass</t>
        </is>
      </c>
      <c r="M28" s="5" t="inlineStr">
        <is>
          <t>N/A</t>
        </is>
      </c>
      <c r="N28" s="4" t="inlineStr">
        <is>
          <t>Full accessibility suite (AC01-AC15, WCAG 2.2 A/AA) is listed in README.md. Screen-reader use still needs a manual check.</t>
        </is>
      </c>
    </row>
    <row r="29">
      <c r="A29" s="5" t="inlineStr">
        <is>
          <t>TC24</t>
        </is>
      </c>
      <c r="B29" s="5" t="inlineStr">
        <is>
          <t>Screen size</t>
        </is>
      </c>
      <c r="C29" s="5" t="inlineStr">
        <is>
          <t>Compatibility</t>
        </is>
      </c>
      <c r="D29" s="4" t="inlineStr">
        <is>
          <t>Products page works on a mobile and a desktop screen</t>
        </is>
      </c>
      <c r="E29" s="4" t="inlineStr">
        <is>
          <t>Use a NEW private / incognito browser window (so the cart is empty and no one is logged in).</t>
        </is>
      </c>
      <c r="F29" s="4" t="inlineStr">
        <is>
          <t>1. Set the browser window to 375 x 667 and log in as standard_user
2. Click "Add to cart" on Sauce Labs Backpack
3. Repeat steps 1-2 at 1366 x 768</t>
        </is>
      </c>
      <c r="G29" s="4" t="inlineStr">
        <is>
          <t>Mobile 375 x 667, desktop 1366 x 768</t>
        </is>
      </c>
      <c r="H29" s="4" t="inlineStr">
        <is>
          <t>1. No sideways scrolling. Menu button, cart icon and sort dropdown are visible.
2. Cart number shows 1. Still no sideways scrolling.
3. Same result on the desktop size.</t>
        </is>
      </c>
      <c r="I29" s="5" t="inlineStr">
        <is>
          <t>P3</t>
        </is>
      </c>
      <c r="J29" s="4" t="inlineStr">
        <is>
          <t>Yes - automated as AC14 (window sizes); real phones stay manual.</t>
        </is>
      </c>
      <c r="K29" s="4" t="inlineStr">
        <is>
          <t>As expected - no sideways scrolling and every control worked at both sizes.</t>
        </is>
      </c>
      <c r="L29" s="5" t="inlineStr">
        <is>
          <t>Pass</t>
        </is>
      </c>
      <c r="M29" s="5" t="inlineStr">
        <is>
          <t>N/A</t>
        </is>
      </c>
      <c r="N29" s="4" t="inlineStr">
        <is>
          <t>Window-size check in desktop browsers; real phones still need a manual check.</t>
        </is>
      </c>
    </row>
    <row r="30">
      <c r="A30" s="5" t="inlineStr">
        <is>
          <t>TC25</t>
        </is>
      </c>
      <c r="B30" s="5" t="inlineStr">
        <is>
          <t>Sorting</t>
        </is>
      </c>
      <c r="C30" s="5" t="inlineStr">
        <is>
          <t>Positive</t>
        </is>
      </c>
      <c r="D30" s="4" t="inlineStr">
        <is>
          <t>Sort by "Price (low to high)" as problem_user</t>
        </is>
      </c>
      <c r="E30" s="4" t="inlineStr">
        <is>
          <t>Use a NEW private / incognito browser window (so the cart is empty and no one is logged in).</t>
        </is>
      </c>
      <c r="F30" s="4" t="inlineStr">
        <is>
          <t>1. Open https://www.saucedemo.com
2. Enter "problem_user" in Username and "secret_sauce" in Password
3. Click Login
4. Select "Price (low to high)" in the sort dropdown
5. Read every price from top to bottom</t>
        </is>
      </c>
      <c r="G30" s="4" t="inlineStr">
        <is>
          <t>User: problem_user
Password: secret_sauce</t>
        </is>
      </c>
      <c r="H30" s="4" t="inlineStr">
        <is>
          <t>1. Login page shows the Username field, Password field and Login button.
2. Text is typed. Password shows as dots.
3. Products page opens. URL ends with /inventory.html. Title is "Products". Products are listed. No cart number on the cart icon.
4. The list re-orders.
5. Every price is lower than or equal to the next.</t>
        </is>
      </c>
      <c r="I30" s="5" t="inlineStr">
        <is>
          <t>P1</t>
        </is>
      </c>
      <c r="J30" s="4" t="inlineStr">
        <is>
          <t>Yes - known bug; the test will show when it is fixed.</t>
        </is>
      </c>
      <c r="K30" s="4" t="inlineStr">
        <is>
          <t>Prices stayed in the same order: $29.99, $9.99, $15.99, $49.99, $7.99, $15.99. Sorting did not work.</t>
        </is>
      </c>
      <c r="L30" s="5" t="inlineStr">
        <is>
          <t>Fail</t>
        </is>
      </c>
      <c r="M30" s="5" t="inlineStr">
        <is>
          <t>BUG-01</t>
        </is>
      </c>
      <c r="N30" s="4" t="inlineStr"/>
    </row>
  </sheetData>
  <autoFilter ref="A5:N30"/>
  <dataValidations count="1">
    <dataValidation sqref="L6:L30" showDropDown="0" showInputMessage="0" showErrorMessage="0" allowBlank="0" type="list">
      <formula1>"Pass,Fail,Not Run,Blocked"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8"/>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13" customWidth="1" min="3" max="3"/>
    <col width="32" customWidth="1" min="4" max="4"/>
    <col width="26" customWidth="1" min="5" max="5"/>
    <col width="50" customWidth="1" min="6" max="6"/>
    <col width="30" customWidth="1" min="7" max="7"/>
    <col width="56" customWidth="1" min="8" max="8"/>
    <col width="10" customWidth="1" min="9" max="9"/>
    <col width="34" customWidth="1" min="10" max="10"/>
    <col width="40" customWidth="1" min="11" max="11"/>
    <col width="10" customWidth="1" min="12" max="12"/>
    <col width="9" customWidth="1" min="13" max="13"/>
    <col width="36" customWidth="1" min="14" max="14"/>
  </cols>
  <sheetData>
    <row r="1">
      <c r="A1" s="1" t="inlineStr">
        <is>
          <t>Extended Test Cases - extra regression (73 cases)</t>
        </is>
      </c>
    </row>
    <row r="2">
      <c r="A2" s="2" t="inlineStr">
        <is>
          <t>Extra functional cases written beyond the brief. Same format; IDs continue from the core suite.</t>
        </is>
      </c>
    </row>
    <row r="3">
      <c r="A3" s="2" t="inlineStr">
        <is>
          <t>Website: https://www.saucedemo.com   |   Password for all users: secret_sauce   |   Tested on 27-28 Oct 2026 in Chrome, Firefox and Safari. Pass = worked in all three browsers. Bug ID "N/A" = no bug found.</t>
        </is>
      </c>
    </row>
    <row r="5" ht="32" customHeight="1">
      <c r="A5" s="3" t="inlineStr">
        <is>
          <t>ID</t>
        </is>
      </c>
      <c r="B5" s="3" t="inlineStr">
        <is>
          <t>Area</t>
        </is>
      </c>
      <c r="C5" s="3" t="inlineStr">
        <is>
          <t>Type</t>
        </is>
      </c>
      <c r="D5" s="3" t="inlineStr">
        <is>
          <t>Title</t>
        </is>
      </c>
      <c r="E5" s="3" t="inlineStr">
        <is>
          <t>Pre-conditions</t>
        </is>
      </c>
      <c r="F5" s="3" t="inlineStr">
        <is>
          <t>Steps</t>
        </is>
      </c>
      <c r="G5" s="3" t="inlineStr">
        <is>
          <t>Test data</t>
        </is>
      </c>
      <c r="H5" s="3" t="inlineStr">
        <is>
          <t>Expected result</t>
        </is>
      </c>
      <c r="I5" s="3" t="inlineStr">
        <is>
          <t>Priority (P1-P3)</t>
        </is>
      </c>
      <c r="J5" s="3" t="inlineStr">
        <is>
          <t>Automate? (Yes / No) and why</t>
        </is>
      </c>
      <c r="K5" s="3" t="inlineStr">
        <is>
          <t>Actual Result</t>
        </is>
      </c>
      <c r="L5" s="3" t="inlineStr">
        <is>
          <t>Status</t>
        </is>
      </c>
      <c r="M5" s="3" t="inlineStr">
        <is>
          <t>Bug ID</t>
        </is>
      </c>
      <c r="N5" s="3" t="inlineStr">
        <is>
          <t>Remarks</t>
        </is>
      </c>
    </row>
    <row r="6">
      <c r="A6" s="5" t="inlineStr">
        <is>
          <t>TC26</t>
        </is>
      </c>
      <c r="B6" s="5" t="inlineStr">
        <is>
          <t>Login</t>
        </is>
      </c>
      <c r="C6" s="5" t="inlineStr">
        <is>
          <t>Positive</t>
        </is>
      </c>
      <c r="D6" s="4" t="inlineStr">
        <is>
          <t>Login with the slow user (performance_glitch_user)</t>
        </is>
      </c>
      <c r="E6" s="4" t="inlineStr">
        <is>
          <t>Use a NEW private / incognito browser window (so the cart is empty and no one is logged in).</t>
        </is>
      </c>
      <c r="F6" s="4" t="inlineStr">
        <is>
          <t>1. Open https://www.saucedemo.com
2. Enter "performance_glitch_user" and "secret_sauce"
3. Click Login and wait (up to 15 seconds)</t>
        </is>
      </c>
      <c r="G6" s="4" t="inlineStr">
        <is>
          <t>Username: performance_glitch_user
Password: secret_sauce</t>
        </is>
      </c>
      <c r="H6" s="4" t="inlineStr">
        <is>
          <t>1. Login page is shown.
2. Text is typed.
3. Products page opens. URL ends with /inventory.html. Title is "Products". Products are listed.</t>
        </is>
      </c>
      <c r="I6" s="5" t="inlineStr">
        <is>
          <t>P3</t>
        </is>
      </c>
      <c r="J6" s="4" t="inlineStr">
        <is>
          <t>Yes - extended regression; stable login variation.</t>
        </is>
      </c>
      <c r="K6" s="4" t="inlineStr">
        <is>
          <t>As expected - Products page opens. URL ends with /inventory.html. Title is "Products". Products are listed.</t>
        </is>
      </c>
      <c r="L6" s="5" t="inlineStr">
        <is>
          <t>Pass</t>
        </is>
      </c>
      <c r="M6" s="5" t="inlineStr">
        <is>
          <t>N/A</t>
        </is>
      </c>
      <c r="N6" s="4" t="inlineStr"/>
    </row>
    <row r="7">
      <c r="A7" s="5" t="inlineStr">
        <is>
          <t>TC27</t>
        </is>
      </c>
      <c r="B7" s="5" t="inlineStr">
        <is>
          <t>Login</t>
        </is>
      </c>
      <c r="C7" s="5" t="inlineStr">
        <is>
          <t>Positive</t>
        </is>
      </c>
      <c r="D7" s="4" t="inlineStr">
        <is>
          <t>Login using the Enter key</t>
        </is>
      </c>
      <c r="E7" s="4" t="inlineStr">
        <is>
          <t>Use a NEW private / incognito browser window (so the cart is empty and no one is logged in).</t>
        </is>
      </c>
      <c r="F7" s="4" t="inlineStr">
        <is>
          <t>1. Open https://www.saucedemo.com
2. Enter "standard_user" and "secret_sauce"
3. Press Enter while the cursor is in the Password field (do not click Login)</t>
        </is>
      </c>
      <c r="G7" s="4" t="inlineStr">
        <is>
          <t>standard_user / secret_sauce</t>
        </is>
      </c>
      <c r="H7" s="4" t="inlineStr">
        <is>
          <t>1. Login page shows the Username field, Password field and Login button.
2. Text is typed.
3. Products page opens. URL ends with /inventory.html.</t>
        </is>
      </c>
      <c r="I7" s="5" t="inlineStr">
        <is>
          <t>P2</t>
        </is>
      </c>
      <c r="J7" s="4" t="inlineStr">
        <is>
          <t>Yes - extended regression; stable login variation.</t>
        </is>
      </c>
      <c r="K7" s="4" t="inlineStr">
        <is>
          <t>As expected - Products page opens. URL ends with /inventory.html.</t>
        </is>
      </c>
      <c r="L7" s="5" t="inlineStr">
        <is>
          <t>Pass</t>
        </is>
      </c>
      <c r="M7" s="5" t="inlineStr">
        <is>
          <t>N/A</t>
        </is>
      </c>
      <c r="N7" s="4" t="inlineStr"/>
    </row>
    <row r="8">
      <c r="A8" s="5" t="inlineStr">
        <is>
          <t>TC28</t>
        </is>
      </c>
      <c r="B8" s="5" t="inlineStr">
        <is>
          <t>Login</t>
        </is>
      </c>
      <c r="C8" s="5" t="inlineStr">
        <is>
          <t>Positive</t>
        </is>
      </c>
      <c r="D8" s="4" t="inlineStr">
        <is>
          <t>Close the login error message</t>
        </is>
      </c>
      <c r="E8" s="4" t="inlineStr">
        <is>
          <t>Use a NEW private / incognito browser window (so the cart is empty and no one is logged in).</t>
        </is>
      </c>
      <c r="F8" s="4" t="inlineStr">
        <is>
          <t>1. Open https://www.saucedemo.com
2. Click Login with both fields empty
3. Click the X button on the error</t>
        </is>
      </c>
      <c r="G8" s="4" t="inlineStr">
        <is>
          <t>Both fields empty</t>
        </is>
      </c>
      <c r="H8" s="4" t="inlineStr">
        <is>
          <t>1. Login page shows the Username field, Password field and Login button.
2. Error: "Epic sadface: Username is required" with an X button.
3. Error message disappears.</t>
        </is>
      </c>
      <c r="I8" s="5" t="inlineStr">
        <is>
          <t>P3</t>
        </is>
      </c>
      <c r="J8" s="4" t="inlineStr">
        <is>
          <t>Yes - extended regression; stable login variation.</t>
        </is>
      </c>
      <c r="K8" s="4" t="inlineStr">
        <is>
          <t>As expected - Error message disappears.</t>
        </is>
      </c>
      <c r="L8" s="5" t="inlineStr">
        <is>
          <t>Pass</t>
        </is>
      </c>
      <c r="M8" s="5" t="inlineStr">
        <is>
          <t>BUG-05</t>
        </is>
      </c>
      <c r="N8" s="4" t="inlineStr">
        <is>
          <t>Seen on 27-Oct-2026: the fields may keep a red style after closing (BUG-05). Check and note.</t>
        </is>
      </c>
    </row>
    <row r="9">
      <c r="A9" s="5" t="inlineStr">
        <is>
          <t>TC29</t>
        </is>
      </c>
      <c r="B9" s="5" t="inlineStr">
        <is>
          <t>Login</t>
        </is>
      </c>
      <c r="C9" s="5" t="inlineStr">
        <is>
          <t>Positive</t>
        </is>
      </c>
      <c r="D9" s="4" t="inlineStr">
        <is>
          <t>Login as problem_user</t>
        </is>
      </c>
      <c r="E9" s="4" t="inlineStr">
        <is>
          <t>Use a NEW private / incognito browser window (so the cart is empty and no one is logged in).</t>
        </is>
      </c>
      <c r="F9" s="4" t="inlineStr">
        <is>
          <t>1. Open https://www.saucedemo.com
2. Enter "problem_user" in Username and "secret_sauce" in Password
3. Click Login</t>
        </is>
      </c>
      <c r="G9" s="4" t="inlineStr">
        <is>
          <t>problem_user / secret_sauce</t>
        </is>
      </c>
      <c r="H9" s="4" t="inlineStr">
        <is>
          <t>1. Login page shows the Username field, Password field and Login button.
2. Text is typed. Password shows as dots.
3. Products page opens. URL ends with /inventory.html. Title is "Products".</t>
        </is>
      </c>
      <c r="I9" s="5" t="inlineStr">
        <is>
          <t>P2</t>
        </is>
      </c>
      <c r="J9" s="4" t="inlineStr">
        <is>
          <t>Yes - extended regression; stable login variation.</t>
        </is>
      </c>
      <c r="K9" s="4" t="inlineStr">
        <is>
          <t>As expected - Products page opens. URL ends with /inventory.html. Title is "Products".</t>
        </is>
      </c>
      <c r="L9" s="5" t="inlineStr">
        <is>
          <t>Pass</t>
        </is>
      </c>
      <c r="M9" s="5" t="inlineStr">
        <is>
          <t>N/A</t>
        </is>
      </c>
      <c r="N9" s="4" t="inlineStr"/>
    </row>
    <row r="10">
      <c r="A10" s="5" t="inlineStr">
        <is>
          <t>TC30</t>
        </is>
      </c>
      <c r="B10" s="5" t="inlineStr">
        <is>
          <t>Login</t>
        </is>
      </c>
      <c r="C10" s="5" t="inlineStr">
        <is>
          <t>Positive</t>
        </is>
      </c>
      <c r="D10" s="4" t="inlineStr">
        <is>
          <t>Login as error_user</t>
        </is>
      </c>
      <c r="E10" s="4" t="inlineStr">
        <is>
          <t>Use a NEW private / incognito browser window (so the cart is empty and no one is logged in).</t>
        </is>
      </c>
      <c r="F10" s="4" t="inlineStr">
        <is>
          <t>1. Open https://www.saucedemo.com
2. Enter "error_user" in Username and "secret_sauce" in Password
3. Click Login</t>
        </is>
      </c>
      <c r="G10" s="4" t="inlineStr">
        <is>
          <t>error_user / secret_sauce</t>
        </is>
      </c>
      <c r="H10" s="4" t="inlineStr">
        <is>
          <t>1. Login page shows the Username field, Password field and Login button.
2. Text is typed. Password shows as dots.
3. Products page opens. URL ends with /inventory.html. Title is "Products".</t>
        </is>
      </c>
      <c r="I10" s="5" t="inlineStr">
        <is>
          <t>P2</t>
        </is>
      </c>
      <c r="J10" s="4" t="inlineStr">
        <is>
          <t>Yes - extended regression; stable login variation.</t>
        </is>
      </c>
      <c r="K10" s="4" t="inlineStr">
        <is>
          <t>As expected - Products page opens. URL ends with /inventory.html. Title is "Products".</t>
        </is>
      </c>
      <c r="L10" s="5" t="inlineStr">
        <is>
          <t>Pass</t>
        </is>
      </c>
      <c r="M10" s="5" t="inlineStr">
        <is>
          <t>N/A</t>
        </is>
      </c>
      <c r="N10" s="4" t="inlineStr"/>
    </row>
    <row r="11">
      <c r="A11" s="5" t="inlineStr">
        <is>
          <t>TC31</t>
        </is>
      </c>
      <c r="B11" s="5" t="inlineStr">
        <is>
          <t>Login</t>
        </is>
      </c>
      <c r="C11" s="5" t="inlineStr">
        <is>
          <t>Positive</t>
        </is>
      </c>
      <c r="D11" s="4" t="inlineStr">
        <is>
          <t>Login as visual_user</t>
        </is>
      </c>
      <c r="E11" s="4" t="inlineStr">
        <is>
          <t>Use a NEW private / incognito browser window (so the cart is empty and no one is logged in).</t>
        </is>
      </c>
      <c r="F11" s="4" t="inlineStr">
        <is>
          <t>1. Open https://www.saucedemo.com
2. Enter "visual_user" in Username and "secret_sauce" in Password
3. Click Login</t>
        </is>
      </c>
      <c r="G11" s="4" t="inlineStr">
        <is>
          <t>visual_user / secret_sauce</t>
        </is>
      </c>
      <c r="H11" s="4" t="inlineStr">
        <is>
          <t>1. Login page shows the Username field, Password field and Login button.
2. Text is typed. Password shows as dots.
3. Products page opens. URL ends with /inventory.html. Title is "Products".</t>
        </is>
      </c>
      <c r="I11" s="5" t="inlineStr">
        <is>
          <t>P2</t>
        </is>
      </c>
      <c r="J11" s="4" t="inlineStr">
        <is>
          <t>Yes - extended regression; stable login variation.</t>
        </is>
      </c>
      <c r="K11" s="4" t="inlineStr">
        <is>
          <t>As expected - Products page opens. URL ends with /inventory.html. Title is "Products".</t>
        </is>
      </c>
      <c r="L11" s="5" t="inlineStr">
        <is>
          <t>Pass</t>
        </is>
      </c>
      <c r="M11" s="5" t="inlineStr">
        <is>
          <t>N/A</t>
        </is>
      </c>
      <c r="N11" s="4" t="inlineStr"/>
    </row>
    <row r="12">
      <c r="A12" s="5" t="inlineStr">
        <is>
          <t>TC32</t>
        </is>
      </c>
      <c r="B12" s="5" t="inlineStr">
        <is>
          <t>Login</t>
        </is>
      </c>
      <c r="C12" s="5" t="inlineStr">
        <is>
          <t>Positive</t>
        </is>
      </c>
      <c r="D12" s="4" t="inlineStr">
        <is>
          <t>Login page content</t>
        </is>
      </c>
      <c r="E12" s="4" t="inlineStr">
        <is>
          <t>Use a NEW private / incognito browser window (so the cart is empty and no one is logged in).</t>
        </is>
      </c>
      <c r="F12" s="4" t="inlineStr">
        <is>
          <t>1. Open https://www.saucedemo.com
2. Look at the Username and Password fields
3. Look below the form</t>
        </is>
      </c>
      <c r="G12" s="4" t="inlineStr">
        <is>
          <t>-</t>
        </is>
      </c>
      <c r="H12" s="4" t="inlineStr">
        <is>
          <t>1. Login page shows the Username field, Password field and Login button.
2. Placeholders say "Username" and "Password".
3. Accepted usernames are listed: standard_user, locked_out_user, problem_user, performance_glitch_user, error_user, visual_user. Text "Password for all users: secret_sauce" is shown.</t>
        </is>
      </c>
      <c r="I12" s="5" t="inlineStr">
        <is>
          <t>P3</t>
        </is>
      </c>
      <c r="J12" s="4" t="inlineStr">
        <is>
          <t>Yes - extended regression; stable login variation.</t>
        </is>
      </c>
      <c r="K12" s="4" t="inlineStr">
        <is>
          <t>As expected - Accepted usernames are listed: standard_user, locked_out_user, problem_user, performance_glitch_user, error_user, visual_user. Text "Password for all users: secret_sauce" is shown.</t>
        </is>
      </c>
      <c r="L12" s="5" t="inlineStr">
        <is>
          <t>Pass</t>
        </is>
      </c>
      <c r="M12" s="5" t="inlineStr">
        <is>
          <t>N/A</t>
        </is>
      </c>
      <c r="N12" s="4" t="inlineStr"/>
    </row>
    <row r="13">
      <c r="A13" s="5" t="inlineStr">
        <is>
          <t>TC33</t>
        </is>
      </c>
      <c r="B13" s="5" t="inlineStr">
        <is>
          <t>Login</t>
        </is>
      </c>
      <c r="C13" s="5" t="inlineStr">
        <is>
          <t>Negative</t>
        </is>
      </c>
      <c r="D13" s="4" t="inlineStr">
        <is>
          <t>Login with a username that does not exist</t>
        </is>
      </c>
      <c r="E13" s="4" t="inlineStr">
        <is>
          <t>Use a NEW private / incognito browser window (so the cart is empty and no one is logged in).</t>
        </is>
      </c>
      <c r="F13" s="4" t="inlineStr">
        <is>
          <t>1. Open https://www.saucedemo.com
2. Enter "unknown_user" and "secret_sauce"
3. Click Login
4. Look at the page and the URL</t>
        </is>
      </c>
      <c r="G13" s="4" t="inlineStr">
        <is>
          <t>Username: unknown_user
Password: secret_sauce</t>
        </is>
      </c>
      <c r="H13" s="4" t="inlineStr">
        <is>
          <t>1. Login page is shown.
2. Text is typed.
3. Error shown: "Epic sadface: Username and password do not match any user in this service" (same message as wrong password).
4. Still on the login page. URL does NOT contain /inventory.html. "Products" title is NOT shown.</t>
        </is>
      </c>
      <c r="I13" s="5" t="inlineStr">
        <is>
          <t>P1</t>
        </is>
      </c>
      <c r="J13" s="4" t="inlineStr">
        <is>
          <t>Yes - extended regression; stable login variation.</t>
        </is>
      </c>
      <c r="K13" s="4" t="inlineStr">
        <is>
          <t>As expected - the same error "Epic sadface: Username and password do not match any user in this service" was shown and the user stayed on the login page.</t>
        </is>
      </c>
      <c r="L13" s="5" t="inlineStr">
        <is>
          <t>Pass</t>
        </is>
      </c>
      <c r="M13" s="5" t="inlineStr">
        <is>
          <t>N/A</t>
        </is>
      </c>
      <c r="N13" s="4" t="inlineStr"/>
    </row>
    <row r="14">
      <c r="A14" s="5" t="inlineStr">
        <is>
          <t>TC34</t>
        </is>
      </c>
      <c r="B14" s="5" t="inlineStr">
        <is>
          <t>Login</t>
        </is>
      </c>
      <c r="C14" s="5" t="inlineStr">
        <is>
          <t>Negative</t>
        </is>
      </c>
      <c r="D14" s="4" t="inlineStr">
        <is>
          <t>Login with username empty</t>
        </is>
      </c>
      <c r="E14" s="4" t="inlineStr">
        <is>
          <t>Use a NEW private / incognito browser window (so the cart is empty and no one is logged in).</t>
        </is>
      </c>
      <c r="F14" s="4" t="inlineStr">
        <is>
          <t>1. Open https://www.saucedemo.com
2. Leave Username empty, enter "any" in Password
3. Click Login
4. Look at the page and the URL</t>
        </is>
      </c>
      <c r="G14" s="4" t="inlineStr">
        <is>
          <t>Username: (empty)
Password: any</t>
        </is>
      </c>
      <c r="H14" s="4" t="inlineStr">
        <is>
          <t>1. Login page is shown.
2. Only Password has text.
3. Error shown: "Epic sadface: Username is required"
4. Still on the login page. URL does NOT contain /inventory.html.</t>
        </is>
      </c>
      <c r="I14" s="5" t="inlineStr">
        <is>
          <t>P2</t>
        </is>
      </c>
      <c r="J14" s="4" t="inlineStr">
        <is>
          <t>Yes - extended regression; stable login variation.</t>
        </is>
      </c>
      <c r="K14" s="4" t="inlineStr">
        <is>
          <t>As expected - error "Epic sadface: Username is required" was shown and the user stayed on the login page.</t>
        </is>
      </c>
      <c r="L14" s="5" t="inlineStr">
        <is>
          <t>Pass</t>
        </is>
      </c>
      <c r="M14" s="5" t="inlineStr">
        <is>
          <t>N/A</t>
        </is>
      </c>
      <c r="N14" s="4" t="inlineStr"/>
    </row>
    <row r="15">
      <c r="A15" s="5" t="inlineStr">
        <is>
          <t>TC35</t>
        </is>
      </c>
      <c r="B15" s="5" t="inlineStr">
        <is>
          <t>Login</t>
        </is>
      </c>
      <c r="C15" s="5" t="inlineStr">
        <is>
          <t>Negative</t>
        </is>
      </c>
      <c r="D15" s="4" t="inlineStr">
        <is>
          <t>Login with password empty</t>
        </is>
      </c>
      <c r="E15" s="4" t="inlineStr">
        <is>
          <t>Use a NEW private / incognito browser window (so the cart is empty and no one is logged in).</t>
        </is>
      </c>
      <c r="F15" s="4" t="inlineStr">
        <is>
          <t>1. Open https://www.saucedemo.com
2. Enter "any" in Username, leave Password empty
3. Click Login
4. Look at the page and the URL</t>
        </is>
      </c>
      <c r="G15" s="4" t="inlineStr">
        <is>
          <t>Username: any
Password: (empty)</t>
        </is>
      </c>
      <c r="H15" s="4" t="inlineStr">
        <is>
          <t>1. Login page is shown.
2. Only Username has text.
3. Error shown: "Epic sadface: Password is required"
4. Still on the login page. URL does NOT contain /inventory.html.</t>
        </is>
      </c>
      <c r="I15" s="5" t="inlineStr">
        <is>
          <t>P2</t>
        </is>
      </c>
      <c r="J15" s="4" t="inlineStr">
        <is>
          <t>Yes - extended regression; stable login variation.</t>
        </is>
      </c>
      <c r="K15" s="4" t="inlineStr">
        <is>
          <t>As expected - error "Epic sadface: Password is required" was shown and the user stayed on the login page.</t>
        </is>
      </c>
      <c r="L15" s="5" t="inlineStr">
        <is>
          <t>Pass</t>
        </is>
      </c>
      <c r="M15" s="5" t="inlineStr">
        <is>
          <t>N/A</t>
        </is>
      </c>
      <c r="N15" s="4" t="inlineStr"/>
    </row>
    <row r="16">
      <c r="A16" s="5" t="inlineStr">
        <is>
          <t>TC36</t>
        </is>
      </c>
      <c r="B16" s="5" t="inlineStr">
        <is>
          <t>Login</t>
        </is>
      </c>
      <c r="C16" s="5" t="inlineStr">
        <is>
          <t>Negative</t>
        </is>
      </c>
      <c r="D16" s="4" t="inlineStr">
        <is>
          <t>Username is case-sensitive</t>
        </is>
      </c>
      <c r="E16" s="4" t="inlineStr">
        <is>
          <t>Use a NEW private / incognito browser window (so the cart is empty and no one is logged in).</t>
        </is>
      </c>
      <c r="F16" s="4" t="inlineStr">
        <is>
          <t>1. Open https://www.saucedemo.com
2. Enter "STANDARD_USER" (capital letters) and "secret_sauce", click Login</t>
        </is>
      </c>
      <c r="G16" s="4" t="inlineStr">
        <is>
          <t>STANDARD_USER / secret_sauce</t>
        </is>
      </c>
      <c r="H16" s="4" t="inlineStr">
        <is>
          <t>1. Login page shows the Username field, Password field and Login button.
2. Error: "Epic sadface: Username and password do not match any user in this service". Not logged in.</t>
        </is>
      </c>
      <c r="I16" s="5" t="inlineStr">
        <is>
          <t>P2</t>
        </is>
      </c>
      <c r="J16" s="4" t="inlineStr">
        <is>
          <t>Yes - extended regression; stable login variation.</t>
        </is>
      </c>
      <c r="K16" s="4" t="inlineStr">
        <is>
          <t>As expected - Error: "Epic sadface: Username and password do not match any user in this service". Not logged in.</t>
        </is>
      </c>
      <c r="L16" s="5" t="inlineStr">
        <is>
          <t>Pass</t>
        </is>
      </c>
      <c r="M16" s="5" t="inlineStr">
        <is>
          <t>N/A</t>
        </is>
      </c>
      <c r="N16" s="4" t="inlineStr">
        <is>
          <t>ASSUMPTION: usernames are case-sensitive (confirm with product owner). Seen on 27-Oct-2026: rejected.</t>
        </is>
      </c>
    </row>
    <row r="17">
      <c r="A17" s="5" t="inlineStr">
        <is>
          <t>TC37</t>
        </is>
      </c>
      <c r="B17" s="5" t="inlineStr">
        <is>
          <t>Login</t>
        </is>
      </c>
      <c r="C17" s="5" t="inlineStr">
        <is>
          <t>Negative</t>
        </is>
      </c>
      <c r="D17" s="4" t="inlineStr">
        <is>
          <t>Username with spaces before and after</t>
        </is>
      </c>
      <c r="E17" s="4" t="inlineStr">
        <is>
          <t>Use a NEW private / incognito browser window (so the cart is empty and no one is logged in).</t>
        </is>
      </c>
      <c r="F17" s="4" t="inlineStr">
        <is>
          <t>1. Open https://www.saucedemo.com
2. Enter " standard_user " (one space before and after) and "secret_sauce", click Login</t>
        </is>
      </c>
      <c r="G17" s="4" t="inlineStr">
        <is>
          <t>" standard_user " / secret_sauce</t>
        </is>
      </c>
      <c r="H17" s="4" t="inlineStr">
        <is>
          <t>1. Login page shows the Username field, Password field and Login button.
2. Error: "Epic sadface: Username and password do not match any user in this service". Not logged in.</t>
        </is>
      </c>
      <c r="I17" s="5" t="inlineStr">
        <is>
          <t>P3</t>
        </is>
      </c>
      <c r="J17" s="4" t="inlineStr">
        <is>
          <t>Yes - extended regression; stable login variation.</t>
        </is>
      </c>
      <c r="K17" s="4" t="inlineStr">
        <is>
          <t>As expected - Error: "Epic sadface: Username and password do not match any user in this service". Not logged in.</t>
        </is>
      </c>
      <c r="L17" s="5" t="inlineStr">
        <is>
          <t>Pass</t>
        </is>
      </c>
      <c r="M17" s="5" t="inlineStr">
        <is>
          <t>N/A</t>
        </is>
      </c>
      <c r="N17" s="4" t="inlineStr">
        <is>
          <t>ASSUMPTION: spaces are not removed (confirm with product owner). Seen on 27-Oct-2026: rejected.</t>
        </is>
      </c>
    </row>
    <row r="18">
      <c r="A18" s="5" t="inlineStr">
        <is>
          <t>TC38</t>
        </is>
      </c>
      <c r="B18" s="5" t="inlineStr">
        <is>
          <t>Login</t>
        </is>
      </c>
      <c r="C18" s="5" t="inlineStr">
        <is>
          <t>Negative</t>
        </is>
      </c>
      <c r="D18" s="4" t="inlineStr">
        <is>
          <t>Password is case-sensitive</t>
        </is>
      </c>
      <c r="E18" s="4" t="inlineStr">
        <is>
          <t>Use a NEW private / incognito browser window (so the cart is empty and no one is logged in).</t>
        </is>
      </c>
      <c r="F18" s="4" t="inlineStr">
        <is>
          <t>1. Open https://www.saucedemo.com
2. Enter "standard_user" and "SECRET_SAUCE" (capital letters), click Login</t>
        </is>
      </c>
      <c r="G18" s="4" t="inlineStr">
        <is>
          <t>standard_user / SECRET_SAUCE</t>
        </is>
      </c>
      <c r="H18" s="4" t="inlineStr">
        <is>
          <t>1. Login page shows the Username field, Password field and Login button.
2. Error: "Epic sadface: Username and password do not match any user in this service". Not logged in.</t>
        </is>
      </c>
      <c r="I18" s="5" t="inlineStr">
        <is>
          <t>P2</t>
        </is>
      </c>
      <c r="J18" s="4" t="inlineStr">
        <is>
          <t>Yes - extended regression; stable login variation.</t>
        </is>
      </c>
      <c r="K18" s="4" t="inlineStr">
        <is>
          <t>As expected - Error: "Epic sadface: Username and password do not match any user in this service". Not logged in.</t>
        </is>
      </c>
      <c r="L18" s="5" t="inlineStr">
        <is>
          <t>Pass</t>
        </is>
      </c>
      <c r="M18" s="5" t="inlineStr">
        <is>
          <t>N/A</t>
        </is>
      </c>
      <c r="N18" s="4" t="inlineStr"/>
    </row>
    <row r="19">
      <c r="A19" s="5" t="inlineStr">
        <is>
          <t>TC39</t>
        </is>
      </c>
      <c r="B19" s="5" t="inlineStr">
        <is>
          <t>Login</t>
        </is>
      </c>
      <c r="C19" s="5" t="inlineStr">
        <is>
          <t>Negative</t>
        </is>
      </c>
      <c r="D19" s="4" t="inlineStr">
        <is>
          <t>Script text in username is treated as plain text</t>
        </is>
      </c>
      <c r="E19" s="4" t="inlineStr">
        <is>
          <t>Use a NEW private / incognito browser window (so the cart is empty and no one is logged in).</t>
        </is>
      </c>
      <c r="F19" s="4" t="inlineStr">
        <is>
          <t>1. Open https://www.saucedemo.com
2. Enter &lt;script&gt;alert(1)&lt;/script&gt; in Username and "secret_sauce" in Password, click Login</t>
        </is>
      </c>
      <c r="G19" s="4" t="inlineStr">
        <is>
          <t>Username: &lt;script&gt;alert(1)&lt;/script&gt;
Password: secret_sauce</t>
        </is>
      </c>
      <c r="H19" s="4" t="inlineStr">
        <is>
          <t>1. Login page shows the Username field, Password field and Login button.
2. No pop-up appears. Error: "Epic sadface: Username and password do not match any user in this service".</t>
        </is>
      </c>
      <c r="I19" s="5" t="inlineStr">
        <is>
          <t>P2</t>
        </is>
      </c>
      <c r="J19" s="4" t="inlineStr">
        <is>
          <t>Yes - extended regression; stable login variation.</t>
        </is>
      </c>
      <c r="K19" s="4" t="inlineStr">
        <is>
          <t>As expected - No pop-up appears. Error: "Epic sadface: Username and password do not match any user in this service".</t>
        </is>
      </c>
      <c r="L19" s="5" t="inlineStr">
        <is>
          <t>Pass</t>
        </is>
      </c>
      <c r="M19" s="5" t="inlineStr">
        <is>
          <t>N/A</t>
        </is>
      </c>
      <c r="N19" s="4" t="inlineStr">
        <is>
          <t>Safe check only. No real attack is done.</t>
        </is>
      </c>
    </row>
    <row r="20">
      <c r="A20" s="5" t="inlineStr">
        <is>
          <t>TC40</t>
        </is>
      </c>
      <c r="B20" s="5" t="inlineStr">
        <is>
          <t>Login</t>
        </is>
      </c>
      <c r="C20" s="5" t="inlineStr">
        <is>
          <t>Boundary</t>
        </is>
      </c>
      <c r="D20" s="4" t="inlineStr">
        <is>
          <t>Very long username and password</t>
        </is>
      </c>
      <c r="E20" s="4" t="inlineStr">
        <is>
          <t>Use a NEW private / incognito browser window (so the cart is empty and no one is logged in).</t>
        </is>
      </c>
      <c r="F20" s="4" t="inlineStr">
        <is>
          <t>1. Open https://www.saucedemo.com
2. Paste 1000 letters "a" into Username and into Password
3. Click Login</t>
        </is>
      </c>
      <c r="G20" s="4" t="inlineStr">
        <is>
          <t>1000 x "a" in both fields</t>
        </is>
      </c>
      <c r="H20" s="4" t="inlineStr">
        <is>
          <t>1. Login page shows the Username field, Password field and Login button.
2. Text is accepted; page does not freeze.
3. Error: "Epic sadface: Username and password do not match any user in this service". Page layout is not broken.</t>
        </is>
      </c>
      <c r="I20" s="5" t="inlineStr">
        <is>
          <t>P3</t>
        </is>
      </c>
      <c r="J20" s="4" t="inlineStr">
        <is>
          <t>Yes - extended regression; stable login variation.</t>
        </is>
      </c>
      <c r="K20" s="4" t="inlineStr">
        <is>
          <t>As expected - Error: "Epic sadface: Username and password do not match any user in this service". Page layout is not broken.</t>
        </is>
      </c>
      <c r="L20" s="5" t="inlineStr">
        <is>
          <t>Pass</t>
        </is>
      </c>
      <c r="M20" s="5" t="inlineStr">
        <is>
          <t>N/A</t>
        </is>
      </c>
      <c r="N20" s="4" t="inlineStr"/>
    </row>
    <row r="21">
      <c r="A21" s="5" t="inlineStr">
        <is>
          <t>TC41</t>
        </is>
      </c>
      <c r="B21" s="5" t="inlineStr">
        <is>
          <t>Products</t>
        </is>
      </c>
      <c r="C21" s="5" t="inlineStr">
        <is>
          <t>Positive</t>
        </is>
      </c>
      <c r="D21" s="4" t="inlineStr">
        <is>
          <t>Every product shows full details</t>
        </is>
      </c>
      <c r="E21" s="4" t="inlineStr">
        <is>
          <t>Use a NEW private / incognito browser window (so the cart is empty and no one is logged in).</t>
        </is>
      </c>
      <c r="F21" s="4" t="inlineStr">
        <is>
          <t>1. Open https://www.saucedemo.com
2. Enter "standard_user" in Username and "secret_sauce" in Password
3. Click Login
4. Look at each product card</t>
        </is>
      </c>
      <c r="G21" s="4" t="inlineStr">
        <is>
          <t>standard_user</t>
        </is>
      </c>
      <c r="H21" s="4" t="inlineStr">
        <is>
          <t>1. Login page shows the Username field, Password field and Login button.
2. Text is typed. Password shows as dots.
3. Products page opens. URL ends with /inventory.html. Title is "Products".
4. 6 products. Each card has an image, name, description, price and "Add to cart" button.</t>
        </is>
      </c>
      <c r="I21" s="5" t="inlineStr">
        <is>
          <t>P1</t>
        </is>
      </c>
      <c r="J21" s="4" t="inlineStr">
        <is>
          <t>Yes - extended regression; stable page check.</t>
        </is>
      </c>
      <c r="K21" s="4" t="inlineStr">
        <is>
          <t>As expected - 6 products. Each card has an image, name, description, price and "Add to cart" button.</t>
        </is>
      </c>
      <c r="L21" s="5" t="inlineStr">
        <is>
          <t>Pass</t>
        </is>
      </c>
      <c r="M21" s="5" t="inlineStr">
        <is>
          <t>N/A</t>
        </is>
      </c>
      <c r="N21" s="4" t="inlineStr"/>
    </row>
    <row r="22">
      <c r="A22" s="5" t="inlineStr">
        <is>
          <t>TC42</t>
        </is>
      </c>
      <c r="B22" s="5" t="inlineStr">
        <is>
          <t>Products</t>
        </is>
      </c>
      <c r="C22" s="5" t="inlineStr">
        <is>
          <t>Positive</t>
        </is>
      </c>
      <c r="D22" s="4" t="inlineStr">
        <is>
          <t>Product prices format</t>
        </is>
      </c>
      <c r="E22" s="4" t="inlineStr">
        <is>
          <t>Use a NEW private / incognito browser window (so the cart is empty and no one is logged in).</t>
        </is>
      </c>
      <c r="F22" s="4" t="inlineStr">
        <is>
          <t>1. Open https://www.saucedemo.com
2. Enter "standard_user" in Username and "secret_sauce" in Password
3. Click Login
4. Read every price</t>
        </is>
      </c>
      <c r="G22" s="4" t="inlineStr">
        <is>
          <t>standard_user</t>
        </is>
      </c>
      <c r="H22" s="4" t="inlineStr">
        <is>
          <t>1. Login page shows the Username field, Password field and Login button.
2. Text is typed. Password shows as dots.
3. Products page opens. URL ends with /inventory.html. Title is "Products".
4. Every price starts with $ and has 2 decimals: $29.99, $9.99, $15.99, $49.99, $7.99, $15.99.</t>
        </is>
      </c>
      <c r="I22" s="5" t="inlineStr">
        <is>
          <t>P2</t>
        </is>
      </c>
      <c r="J22" s="4" t="inlineStr">
        <is>
          <t>Yes - extended regression; stable page check.</t>
        </is>
      </c>
      <c r="K22" s="4" t="inlineStr">
        <is>
          <t>As expected - Every price starts with $ and has 2 decimals: $29.99, $9.99, $15.99, $49.99, $7.99, $15.99.</t>
        </is>
      </c>
      <c r="L22" s="5" t="inlineStr">
        <is>
          <t>Pass</t>
        </is>
      </c>
      <c r="M22" s="5" t="inlineStr">
        <is>
          <t>N/A</t>
        </is>
      </c>
      <c r="N22" s="4" t="inlineStr"/>
    </row>
    <row r="23">
      <c r="A23" s="5" t="inlineStr">
        <is>
          <t>TC43</t>
        </is>
      </c>
      <c r="B23" s="5" t="inlineStr">
        <is>
          <t>Products</t>
        </is>
      </c>
      <c r="C23" s="5" t="inlineStr">
        <is>
          <t>Positive</t>
        </is>
      </c>
      <c r="D23" s="4" t="inlineStr">
        <is>
          <t>Product name opens the product detail page</t>
        </is>
      </c>
      <c r="E23" s="4" t="inlineStr">
        <is>
          <t>Use a NEW private / incognito browser window (so the cart is empty and no one is logged in).</t>
        </is>
      </c>
      <c r="F23" s="4" t="inlineStr">
        <is>
          <t>1. Open https://www.saucedemo.com
2. Enter "standard_user" in Username and "secret_sauce" in Password
3. Click Login
4. Click the name "Sauce Labs Backpack"
5. Check the details</t>
        </is>
      </c>
      <c r="G23" s="4" t="inlineStr">
        <is>
          <t>Sauce Labs Backpack</t>
        </is>
      </c>
      <c r="H23" s="4" t="inlineStr">
        <is>
          <t>1. Login page shows the Username field, Password field and Login button.
2. Text is typed. Password shows as dots.
3. Products page opens. URL ends with /inventory.html. Title is "Products".
4. Product page opens. URL contains /inventory-item.html?id=4.
5. Name "Sauce Labs Backpack", price $29.99 and the same description as the Products page. "Back to products" button is shown.</t>
        </is>
      </c>
      <c r="I23" s="5" t="inlineStr">
        <is>
          <t>P2</t>
        </is>
      </c>
      <c r="J23" s="4" t="inlineStr">
        <is>
          <t>Yes - extended regression; stable page check.</t>
        </is>
      </c>
      <c r="K23" s="4" t="inlineStr">
        <is>
          <t>As expected - Name "Sauce Labs Backpack", price $29.99 and the same description as the Products page. "Back to products" button is shown.</t>
        </is>
      </c>
      <c r="L23" s="5" t="inlineStr">
        <is>
          <t>Pass</t>
        </is>
      </c>
      <c r="M23" s="5" t="inlineStr">
        <is>
          <t>N/A</t>
        </is>
      </c>
      <c r="N23" s="4" t="inlineStr"/>
    </row>
    <row r="24">
      <c r="A24" s="5" t="inlineStr">
        <is>
          <t>TC44</t>
        </is>
      </c>
      <c r="B24" s="5" t="inlineStr">
        <is>
          <t>Products</t>
        </is>
      </c>
      <c r="C24" s="5" t="inlineStr">
        <is>
          <t>Positive</t>
        </is>
      </c>
      <c r="D24" s="4" t="inlineStr">
        <is>
          <t>Product image opens the product detail page</t>
        </is>
      </c>
      <c r="E24" s="4" t="inlineStr">
        <is>
          <t>Use a NEW private / incognito browser window (so the cart is empty and no one is logged in).</t>
        </is>
      </c>
      <c r="F24" s="4" t="inlineStr">
        <is>
          <t>1. Open https://www.saucedemo.com
2. Enter "standard_user" in Username and "secret_sauce" in Password
3. Click Login
4. Click the image of "Sauce Labs Bike Light"</t>
        </is>
      </c>
      <c r="G24" s="4" t="inlineStr">
        <is>
          <t>Sauce Labs Bike Light</t>
        </is>
      </c>
      <c r="H24" s="4" t="inlineStr">
        <is>
          <t>1. Login page shows the Username field, Password field and Login button.
2. Text is typed. Password shows as dots.
3. Products page opens. URL ends with /inventory.html. Title is "Products".
4. Product page for Sauce Labs Bike Light opens, price $9.99.</t>
        </is>
      </c>
      <c r="I24" s="5" t="inlineStr">
        <is>
          <t>P2</t>
        </is>
      </c>
      <c r="J24" s="4" t="inlineStr">
        <is>
          <t>Yes - extended regression; stable page check.</t>
        </is>
      </c>
      <c r="K24" s="4" t="inlineStr">
        <is>
          <t>As expected - Product page for Sauce Labs Bike Light opens, price $9.99.</t>
        </is>
      </c>
      <c r="L24" s="5" t="inlineStr">
        <is>
          <t>Pass</t>
        </is>
      </c>
      <c r="M24" s="5" t="inlineStr">
        <is>
          <t>N/A</t>
        </is>
      </c>
      <c r="N24" s="4" t="inlineStr"/>
    </row>
    <row r="25">
      <c r="A25" s="5" t="inlineStr">
        <is>
          <t>TC45</t>
        </is>
      </c>
      <c r="B25" s="5" t="inlineStr">
        <is>
          <t>Products</t>
        </is>
      </c>
      <c r="C25" s="5" t="inlineStr">
        <is>
          <t>Positive</t>
        </is>
      </c>
      <c r="D25" s="4" t="inlineStr">
        <is>
          <t>Default sort after login</t>
        </is>
      </c>
      <c r="E25" s="4" t="inlineStr">
        <is>
          <t>Use a NEW private / incognito browser window (so the cart is empty and no one is logged in).</t>
        </is>
      </c>
      <c r="F25" s="4" t="inlineStr">
        <is>
          <t>1. Open https://www.saucedemo.com
2. Enter "standard_user" in Username and "secret_sauce" in Password
3. Click Login
4. Look at the sort dropdown and the list</t>
        </is>
      </c>
      <c r="G25" s="4" t="inlineStr">
        <is>
          <t>standard_user</t>
        </is>
      </c>
      <c r="H25" s="4" t="inlineStr">
        <is>
          <t>1. Login page shows the Username field, Password field and Login button.
2. Text is typed. Password shows as dots.
3. Products page opens. URL ends with /inventory.html. Title is "Products".
4. Dropdown shows "Name (A to Z)". Names are in A to Z order.</t>
        </is>
      </c>
      <c r="I25" s="5" t="inlineStr">
        <is>
          <t>P2</t>
        </is>
      </c>
      <c r="J25" s="4" t="inlineStr">
        <is>
          <t>Yes - extended regression; stable page check.</t>
        </is>
      </c>
      <c r="K25" s="4" t="inlineStr">
        <is>
          <t>As expected - Dropdown shows "Name (A to Z)". Names are in A to Z order.</t>
        </is>
      </c>
      <c r="L25" s="5" t="inlineStr">
        <is>
          <t>Pass</t>
        </is>
      </c>
      <c r="M25" s="5" t="inlineStr">
        <is>
          <t>N/A</t>
        </is>
      </c>
      <c r="N25" s="4" t="inlineStr"/>
    </row>
    <row r="26">
      <c r="A26" s="5" t="inlineStr">
        <is>
          <t>TC46</t>
        </is>
      </c>
      <c r="B26" s="5" t="inlineStr">
        <is>
          <t>Products</t>
        </is>
      </c>
      <c r="C26" s="5" t="inlineStr">
        <is>
          <t>Positive</t>
        </is>
      </c>
      <c r="D26" s="4" t="inlineStr">
        <is>
          <t>Footer social links</t>
        </is>
      </c>
      <c r="E26" s="4" t="inlineStr">
        <is>
          <t>Use a NEW private / incognito browser window (so the cart is empty and no one is logged in).</t>
        </is>
      </c>
      <c r="F26" s="4" t="inlineStr">
        <is>
          <t>1. Open https://www.saucedemo.com
2. Enter "standard_user" in Username and "secret_sauce" in Password
3. Click Login
4. Scroll to the footer
5. Click each icon</t>
        </is>
      </c>
      <c r="G26" s="4" t="inlineStr">
        <is>
          <t>X, Facebook, LinkedIn</t>
        </is>
      </c>
      <c r="H26" s="4" t="inlineStr">
        <is>
          <t>1. Login page shows the Username field, Password field and Login button.
2. Text is typed. Password shows as dots.
3. Products page opens. URL ends with /inventory.html. Title is "Products".
4. X, Facebook and LinkedIn icons are shown.
5. Each opens in a new tab: x.com/saucelabs, facebook.com/saucelabs, linkedin.com/company/sauce-labs.</t>
        </is>
      </c>
      <c r="I26" s="5" t="inlineStr">
        <is>
          <t>P3</t>
        </is>
      </c>
      <c r="J26" s="4" t="inlineStr">
        <is>
          <t>Yes - extended regression; stable page check.</t>
        </is>
      </c>
      <c r="K26" s="4" t="inlineStr">
        <is>
          <t>As expected - the X, Facebook and LinkedIn links point to the Sauce Labs pages and are set to open in a new tab. The external sites were not opened.</t>
        </is>
      </c>
      <c r="L26" s="5" t="inlineStr">
        <is>
          <t>Pass</t>
        </is>
      </c>
      <c r="M26" s="5" t="inlineStr">
        <is>
          <t>N/A</t>
        </is>
      </c>
      <c r="N26" s="4" t="inlineStr">
        <is>
          <t>Do not test the external sites, only that the right page opens.</t>
        </is>
      </c>
    </row>
    <row r="27">
      <c r="A27" s="5" t="inlineStr">
        <is>
          <t>TC47</t>
        </is>
      </c>
      <c r="B27" s="5" t="inlineStr">
        <is>
          <t>Sorting</t>
        </is>
      </c>
      <c r="C27" s="5" t="inlineStr">
        <is>
          <t>Positive</t>
        </is>
      </c>
      <c r="D27" s="4" t="inlineStr">
        <is>
          <t>Added products keep "Remove" after sorting</t>
        </is>
      </c>
      <c r="E27" s="4" t="inlineStr">
        <is>
          <t>Use a NEW private / incognito browser window (so the cart is empty and no one is logged in).</t>
        </is>
      </c>
      <c r="F27" s="4" t="inlineStr">
        <is>
          <t>1. Open https://www.saucedemo.com
2. Enter "standard_user" in Username and "secret_sauce" in Password
3. Click Login
4. Click "Add to cart" on Backpack and on Onesie
5. Select "Price (high to low)"
6. Find Backpack and Onesie in the new order</t>
        </is>
      </c>
      <c r="G27" s="4" t="inlineStr">
        <is>
          <t>Sauce Labs Backpack, Sauce Labs Onesie</t>
        </is>
      </c>
      <c r="H27" s="4" t="inlineStr">
        <is>
          <t>1. Login page shows the Username field, Password field and Login button.
2. Text is typed. Password shows as dots.
3. Products page opens. URL ends with /inventory.html. Title is "Products".
4. Both buttons change to "Remove". Cart number shows 2.
5. List re-orders.
6. Both still show "Remove". All other products show "Add to cart". Cart number still 2.</t>
        </is>
      </c>
      <c r="I27" s="5" t="inlineStr">
        <is>
          <t>P2</t>
        </is>
      </c>
      <c r="J27" s="4" t="inlineStr">
        <is>
          <t>Yes - extended regression; whole-list check.</t>
        </is>
      </c>
      <c r="K27" s="4" t="inlineStr">
        <is>
          <t>As expected - Both still show "Remove". All other products show "Add to cart". Cart number still 2.</t>
        </is>
      </c>
      <c r="L27" s="5" t="inlineStr">
        <is>
          <t>Pass</t>
        </is>
      </c>
      <c r="M27" s="5" t="inlineStr">
        <is>
          <t>N/A</t>
        </is>
      </c>
      <c r="N27" s="4" t="inlineStr"/>
    </row>
    <row r="28">
      <c r="A28" s="5" t="inlineStr">
        <is>
          <t>TC48</t>
        </is>
      </c>
      <c r="B28" s="5" t="inlineStr">
        <is>
          <t>Sorting</t>
        </is>
      </c>
      <c r="C28" s="5" t="inlineStr">
        <is>
          <t>Positive</t>
        </is>
      </c>
      <c r="D28" s="4" t="inlineStr">
        <is>
          <t>Change sort many times</t>
        </is>
      </c>
      <c r="E28" s="4" t="inlineStr">
        <is>
          <t>Use a NEW private / incognito browser window (so the cart is empty and no one is logged in).</t>
        </is>
      </c>
      <c r="F28" s="4" t="inlineStr">
        <is>
          <t>1. Open https://www.saucedemo.com
2. Enter "standard_user" in Username and "secret_sauce" in Password
3. Click Login
4. Select Name (Z to A), then Price (low to high), then Price (high to low), then Name (A to Z)
5. After each selection, read the full list</t>
        </is>
      </c>
      <c r="G28" s="4" t="inlineStr">
        <is>
          <t>All 4 sort options</t>
        </is>
      </c>
      <c r="H28" s="4" t="inlineStr">
        <is>
          <t>1. Login page shows the Username field, Password field and Login button.
2. Text is typed. Password shows as dots.
3. Products page opens. URL ends with /inventory.html. Title is "Products".
4. List re-orders each time.
5. Each time the whole list is in the chosen order. Always 6 products.</t>
        </is>
      </c>
      <c r="I28" s="5" t="inlineStr">
        <is>
          <t>P3</t>
        </is>
      </c>
      <c r="J28" s="4" t="inlineStr">
        <is>
          <t>Yes - extended regression; whole-list check.</t>
        </is>
      </c>
      <c r="K28" s="4" t="inlineStr">
        <is>
          <t>As expected - Each time the whole list is in the chosen order. Always 6 products.</t>
        </is>
      </c>
      <c r="L28" s="5" t="inlineStr">
        <is>
          <t>Pass</t>
        </is>
      </c>
      <c r="M28" s="5" t="inlineStr">
        <is>
          <t>N/A</t>
        </is>
      </c>
      <c r="N28" s="4" t="inlineStr"/>
    </row>
    <row r="29">
      <c r="A29" s="5" t="inlineStr">
        <is>
          <t>TC49</t>
        </is>
      </c>
      <c r="B29" s="5" t="inlineStr">
        <is>
          <t>Product Detail</t>
        </is>
      </c>
      <c r="C29" s="5" t="inlineStr">
        <is>
          <t>Positive</t>
        </is>
      </c>
      <c r="D29" s="4" t="inlineStr">
        <is>
          <t>Add to cart from the product page</t>
        </is>
      </c>
      <c r="E29" s="4" t="inlineStr">
        <is>
          <t>Use a NEW private / incognito browser window (so the cart is empty and no one is logged in).</t>
        </is>
      </c>
      <c r="F29" s="4" t="inlineStr">
        <is>
          <t>1. Open https://www.saucedemo.com
2. Enter "standard_user" in Username and "secret_sauce" in Password
3. Click Login
4. Click the name "Sauce Labs Backpack"
5. Click "Add to cart"</t>
        </is>
      </c>
      <c r="G29" s="4" t="inlineStr">
        <is>
          <t>Sauce Labs Backpack</t>
        </is>
      </c>
      <c r="H29" s="4" t="inlineStr">
        <is>
          <t>1. Login page shows the Username field, Password field and Login button.
2. Text is typed. Password shows as dots.
3. Products page opens. URL ends with /inventory.html. Title is "Products".
4. Product page opens.
5. Button changes to "Remove". Cart number shows 1.</t>
        </is>
      </c>
      <c r="I29" s="5" t="inlineStr">
        <is>
          <t>P1</t>
        </is>
      </c>
      <c r="J29" s="4" t="inlineStr">
        <is>
          <t>Yes - extended regression; stable page check.</t>
        </is>
      </c>
      <c r="K29" s="4" t="inlineStr">
        <is>
          <t>As expected - Button changes to "Remove". Cart number shows 1.</t>
        </is>
      </c>
      <c r="L29" s="5" t="inlineStr">
        <is>
          <t>Pass</t>
        </is>
      </c>
      <c r="M29" s="5" t="inlineStr">
        <is>
          <t>N/A</t>
        </is>
      </c>
      <c r="N29" s="4" t="inlineStr"/>
    </row>
    <row r="30">
      <c r="A30" s="5" t="inlineStr">
        <is>
          <t>TC50</t>
        </is>
      </c>
      <c r="B30" s="5" t="inlineStr">
        <is>
          <t>Product Detail</t>
        </is>
      </c>
      <c r="C30" s="5" t="inlineStr">
        <is>
          <t>Positive</t>
        </is>
      </c>
      <c r="D30" s="4" t="inlineStr">
        <is>
          <t>Remove from the product page</t>
        </is>
      </c>
      <c r="E30" s="4" t="inlineStr">
        <is>
          <t>Use a NEW private / incognito browser window (so the cart is empty and no one is logged in).</t>
        </is>
      </c>
      <c r="F30" s="4" t="inlineStr">
        <is>
          <t>1. Open https://www.saucedemo.com
2. Enter "standard_user" in Username and "secret_sauce" in Password
3. Click Login
4. Open "Sauce Labs Backpack" and click "Add to cart"
5. Click "Remove"</t>
        </is>
      </c>
      <c r="G30" s="4" t="inlineStr">
        <is>
          <t>Sauce Labs Backpack</t>
        </is>
      </c>
      <c r="H30" s="4" t="inlineStr">
        <is>
          <t>1. Login page shows the Username field, Password field and Login button.
2. Text is typed. Password shows as dots.
3. Products page opens. URL ends with /inventory.html. Title is "Products".
4. Cart number shows 1.
5. Button changes to "Add to cart". Cart number is gone.</t>
        </is>
      </c>
      <c r="I30" s="5" t="inlineStr">
        <is>
          <t>P2</t>
        </is>
      </c>
      <c r="J30" s="4" t="inlineStr">
        <is>
          <t>Yes - extended regression; stable page check.</t>
        </is>
      </c>
      <c r="K30" s="4" t="inlineStr">
        <is>
          <t>As expected - Button changes to "Add to cart". Cart number is gone.</t>
        </is>
      </c>
      <c r="L30" s="5" t="inlineStr">
        <is>
          <t>Pass</t>
        </is>
      </c>
      <c r="M30" s="5" t="inlineStr">
        <is>
          <t>N/A</t>
        </is>
      </c>
      <c r="N30" s="4" t="inlineStr"/>
    </row>
    <row r="31">
      <c r="A31" s="5" t="inlineStr">
        <is>
          <t>TC51</t>
        </is>
      </c>
      <c r="B31" s="5" t="inlineStr">
        <is>
          <t>Product Detail</t>
        </is>
      </c>
      <c r="C31" s="5" t="inlineStr">
        <is>
          <t>Positive</t>
        </is>
      </c>
      <c r="D31" s="4" t="inlineStr">
        <is>
          <t>"Back to products" keeps the cart</t>
        </is>
      </c>
      <c r="E31" s="4" t="inlineStr">
        <is>
          <t>Use a NEW private / incognito browser window (so the cart is empty and no one is logged in).</t>
        </is>
      </c>
      <c r="F31" s="4" t="inlineStr">
        <is>
          <t>1. Open https://www.saucedemo.com
2. Enter "standard_user" in Username and "secret_sauce" in Password
3. Click Login
4. Open "Sauce Labs Backpack" and click "Add to cart"
5. Click "Back to products"</t>
        </is>
      </c>
      <c r="G31" s="4" t="inlineStr">
        <is>
          <t>Sauce Labs Backpack</t>
        </is>
      </c>
      <c r="H31" s="4" t="inlineStr">
        <is>
          <t>1. Login page shows the Username field, Password field and Login button.
2. Text is typed. Password shows as dots.
3. Products page opens. URL ends with /inventory.html. Title is "Products".
4. Cart number shows 1.
5. Products page opens. Cart number still 1. Backpack shows "Remove".</t>
        </is>
      </c>
      <c r="I31" s="5" t="inlineStr">
        <is>
          <t>P2</t>
        </is>
      </c>
      <c r="J31" s="4" t="inlineStr">
        <is>
          <t>Yes - extended regression; stable page check.</t>
        </is>
      </c>
      <c r="K31" s="4" t="inlineStr">
        <is>
          <t>As expected - Products page opens. Cart number still 1. Backpack shows "Remove".</t>
        </is>
      </c>
      <c r="L31" s="5" t="inlineStr">
        <is>
          <t>Pass</t>
        </is>
      </c>
      <c r="M31" s="5" t="inlineStr">
        <is>
          <t>N/A</t>
        </is>
      </c>
      <c r="N31" s="4" t="inlineStr"/>
    </row>
    <row r="32">
      <c r="A32" s="5" t="inlineStr">
        <is>
          <t>TC52</t>
        </is>
      </c>
      <c r="B32" s="5" t="inlineStr">
        <is>
          <t>Product Detail</t>
        </is>
      </c>
      <c r="C32" s="5" t="inlineStr">
        <is>
          <t>Negative</t>
        </is>
      </c>
      <c r="D32" s="4" t="inlineStr">
        <is>
          <t>Unknown product id</t>
        </is>
      </c>
      <c r="E32" s="4" t="inlineStr">
        <is>
          <t>Use a NEW private / incognito browser window (so the cart is empty and no one is logged in).</t>
        </is>
      </c>
      <c r="F32" s="4" t="inlineStr">
        <is>
          <t>1. Open https://www.saucedemo.com
2. Enter "standard_user" in Username and "secret_sauce" in Password
3. Click Login
4. Type https://www.saucedemo.com/inventory-item.html?id=99 in the address bar
5. Click "Back to products"</t>
        </is>
      </c>
      <c r="G32" s="4" t="inlineStr">
        <is>
          <t>https://www.saucedemo.com/inventory-item.html?id=99</t>
        </is>
      </c>
      <c r="H32" s="4" t="inlineStr">
        <is>
          <t>1. Login page shows the Username field, Password field and Login button.
2. Text is typed. Password shows as dots.
3. Products page opens. URL ends with /inventory.html. Title is "Products".
4. Page shows "ITEM NOT FOUND". No crash.
5. Products page opens.</t>
        </is>
      </c>
      <c r="I32" s="5" t="inlineStr">
        <is>
          <t>P3</t>
        </is>
      </c>
      <c r="J32" s="4" t="inlineStr">
        <is>
          <t>Yes - extended regression; stable page check.</t>
        </is>
      </c>
      <c r="K32" s="4" t="inlineStr">
        <is>
          <t>As expected - "ITEM NOT FOUND" was shown and "Back to products" opened the Products page.</t>
        </is>
      </c>
      <c r="L32" s="5" t="inlineStr">
        <is>
          <t>Pass</t>
        </is>
      </c>
      <c r="M32" s="5" t="inlineStr">
        <is>
          <t>N/A</t>
        </is>
      </c>
      <c r="N32" s="4" t="inlineStr"/>
    </row>
    <row r="33">
      <c r="A33" s="5" t="inlineStr">
        <is>
          <t>TC53</t>
        </is>
      </c>
      <c r="B33" s="5" t="inlineStr">
        <is>
          <t>Product Detail</t>
        </is>
      </c>
      <c r="C33" s="5" t="inlineStr">
        <is>
          <t>Negative</t>
        </is>
      </c>
      <c r="D33" s="4" t="inlineStr">
        <is>
          <t>Product id is not a number</t>
        </is>
      </c>
      <c r="E33" s="4" t="inlineStr">
        <is>
          <t>Use a NEW private / incognito browser window (so the cart is empty and no one is logged in).</t>
        </is>
      </c>
      <c r="F33" s="4" t="inlineStr">
        <is>
          <t>1. Open https://www.saucedemo.com
2. Enter "standard_user" in Username and "secret_sauce" in Password
3. Click Login
4. Type https://www.saucedemo.com/inventory-item.html?id=abc in the address bar
5. Click "Back to products"</t>
        </is>
      </c>
      <c r="G33" s="4" t="inlineStr">
        <is>
          <t>https://www.saucedemo.com/inventory-item.html?id=abc</t>
        </is>
      </c>
      <c r="H33" s="4" t="inlineStr">
        <is>
          <t>1. Login page shows the Username field, Password field and Login button.
2. Text is typed. Password shows as dots.
3. Products page opens. URL ends with /inventory.html. Title is "Products".
4. Page shows "ITEM NOT FOUND". No crash, no blank page.
5. Products page opens.</t>
        </is>
      </c>
      <c r="I33" s="5" t="inlineStr">
        <is>
          <t>P3</t>
        </is>
      </c>
      <c r="J33" s="4" t="inlineStr">
        <is>
          <t>Yes - extended regression; stable page check.</t>
        </is>
      </c>
      <c r="K33" s="4" t="inlineStr">
        <is>
          <t>As expected - "ITEM NOT FOUND" was shown and "Back to products" opened the Products page.</t>
        </is>
      </c>
      <c r="L33" s="5" t="inlineStr">
        <is>
          <t>Pass</t>
        </is>
      </c>
      <c r="M33" s="5" t="inlineStr">
        <is>
          <t>N/A</t>
        </is>
      </c>
      <c r="N33" s="4" t="inlineStr"/>
    </row>
    <row r="34">
      <c r="A34" s="5" t="inlineStr">
        <is>
          <t>TC54</t>
        </is>
      </c>
      <c r="B34" s="5" t="inlineStr">
        <is>
          <t>Cart</t>
        </is>
      </c>
      <c r="C34" s="5" t="inlineStr">
        <is>
          <t>Positive</t>
        </is>
      </c>
      <c r="D34" s="4" t="inlineStr">
        <is>
          <t>Cart item details</t>
        </is>
      </c>
      <c r="E34" s="4" t="inlineStr">
        <is>
          <t>Use a NEW private / incognito browser window (so the cart is empty and no one is logged in).</t>
        </is>
      </c>
      <c r="F34" s="4" t="inlineStr">
        <is>
          <t>1. Open https://www.saucedemo.com
2. Enter "standard_user" in Username and "secret_sauce" in Password
3. Click Login
4. Add "Sauce Labs Bolt T-Shirt", open the cart
5. Look at the cart line</t>
        </is>
      </c>
      <c r="G34" s="4" t="inlineStr">
        <is>
          <t>Sauce Labs Bolt T-Shirt</t>
        </is>
      </c>
      <c r="H34" s="4" t="inlineStr">
        <is>
          <t>1. Login page shows the Username field, Password field and Login button.
2. Text is typed. Password shows as dots.
3. Products page opens. URL ends with /inventory.html. Title is "Products".
4. "Your Cart" page opens.
5. QTY 1, name "Sauce Labs Bolt T-Shirt", description, price $15.99, "Remove" button.</t>
        </is>
      </c>
      <c r="I34" s="5" t="inlineStr">
        <is>
          <t>P1</t>
        </is>
      </c>
      <c r="J34" s="4" t="inlineStr">
        <is>
          <t>Yes - extended regression; cart state check.</t>
        </is>
      </c>
      <c r="K34" s="4" t="inlineStr">
        <is>
          <t>As expected - QTY 1, name "Sauce Labs Bolt T-Shirt", description, price $15.99, "Remove" button.</t>
        </is>
      </c>
      <c r="L34" s="5" t="inlineStr">
        <is>
          <t>Pass</t>
        </is>
      </c>
      <c r="M34" s="5" t="inlineStr">
        <is>
          <t>N/A</t>
        </is>
      </c>
      <c r="N34" s="4" t="inlineStr"/>
    </row>
    <row r="35">
      <c r="A35" s="5" t="inlineStr">
        <is>
          <t>TC55</t>
        </is>
      </c>
      <c r="B35" s="5" t="inlineStr">
        <is>
          <t>Cart</t>
        </is>
      </c>
      <c r="C35" s="5" t="inlineStr">
        <is>
          <t>Positive</t>
        </is>
      </c>
      <c r="D35" s="4" t="inlineStr">
        <is>
          <t>Cart stays the same when moving between pages</t>
        </is>
      </c>
      <c r="E35" s="4" t="inlineStr">
        <is>
          <t>Use a NEW private / incognito browser window (so the cart is empty and no one is logged in).</t>
        </is>
      </c>
      <c r="F35" s="4" t="inlineStr">
        <is>
          <t>1. Open https://www.saucedemo.com
2. Enter "standard_user" in Username and "secret_sauce" in Password
3. Click Login
4. Add Backpack and Bike Light
5. Open Backpack product page, go back, open the cart, click Continue Shopping</t>
        </is>
      </c>
      <c r="G35" s="4" t="inlineStr">
        <is>
          <t>2 products</t>
        </is>
      </c>
      <c r="H35" s="4" t="inlineStr">
        <is>
          <t>1. Login page shows the Username field, Password field and Login button.
2. Text is typed. Password shows as dots.
3. Products page opens. URL ends with /inventory.html. Title is "Products".
4. Cart number shows 2.
5. Cart number is 2 on every page. Cart lists Backpack and Bike Light.</t>
        </is>
      </c>
      <c r="I35" s="5" t="inlineStr">
        <is>
          <t>P1</t>
        </is>
      </c>
      <c r="J35" s="4" t="inlineStr">
        <is>
          <t>Yes - extended regression; cart state check.</t>
        </is>
      </c>
      <c r="K35" s="4" t="inlineStr">
        <is>
          <t>As expected - Cart number is 2 on every page. Cart lists Backpack and Bike Light.</t>
        </is>
      </c>
      <c r="L35" s="5" t="inlineStr">
        <is>
          <t>Pass</t>
        </is>
      </c>
      <c r="M35" s="5" t="inlineStr">
        <is>
          <t>N/A</t>
        </is>
      </c>
      <c r="N35" s="4" t="inlineStr"/>
    </row>
    <row r="36">
      <c r="A36" s="5" t="inlineStr">
        <is>
          <t>TC56</t>
        </is>
      </c>
      <c r="B36" s="5" t="inlineStr">
        <is>
          <t>Cart</t>
        </is>
      </c>
      <c r="C36" s="5" t="inlineStr">
        <is>
          <t>Positive</t>
        </is>
      </c>
      <c r="D36" s="4" t="inlineStr">
        <is>
          <t>Cart stays after page refresh</t>
        </is>
      </c>
      <c r="E36" s="4" t="inlineStr">
        <is>
          <t>Use a NEW private / incognito browser window (so the cart is empty and no one is logged in).</t>
        </is>
      </c>
      <c r="F36" s="4" t="inlineStr">
        <is>
          <t>1. Open https://www.saucedemo.com
2. Enter "standard_user" in Username and "secret_sauce" in Password
3. Click Login
4. Add Backpack and Bike Light
5. Press F5 on the Products page
6. Open the cart and press F5</t>
        </is>
      </c>
      <c r="G36" s="4" t="inlineStr">
        <is>
          <t>2 products</t>
        </is>
      </c>
      <c r="H36" s="4" t="inlineStr">
        <is>
          <t>1. Login page shows the Username field, Password field and Login button.
2. Text is typed. Password shows as dots.
3. Products page opens. URL ends with /inventory.html. Title is "Products".
4. Cart number shows 2.
5. Cart number still 2. Both still show "Remove".
6. Both items are still in the cart.</t>
        </is>
      </c>
      <c r="I36" s="5" t="inlineStr">
        <is>
          <t>P1</t>
        </is>
      </c>
      <c r="J36" s="4" t="inlineStr">
        <is>
          <t>Yes - extended regression; cart state check.</t>
        </is>
      </c>
      <c r="K36" s="4" t="inlineStr">
        <is>
          <t>As expected - Both items are still in the cart.</t>
        </is>
      </c>
      <c r="L36" s="5" t="inlineStr">
        <is>
          <t>Pass</t>
        </is>
      </c>
      <c r="M36" s="5" t="inlineStr">
        <is>
          <t>N/A</t>
        </is>
      </c>
      <c r="N36" s="4" t="inlineStr"/>
    </row>
    <row r="37">
      <c r="A37" s="5" t="inlineStr">
        <is>
          <t>TC57</t>
        </is>
      </c>
      <c r="B37" s="5" t="inlineStr">
        <is>
          <t>Cart</t>
        </is>
      </c>
      <c r="C37" s="5" t="inlineStr">
        <is>
          <t>Positive</t>
        </is>
      </c>
      <c r="D37" s="4" t="inlineStr">
        <is>
          <t>"Continue Shopping" with items keeps the cart</t>
        </is>
      </c>
      <c r="E37" s="4" t="inlineStr">
        <is>
          <t>Use a NEW private / incognito browser window (so the cart is empty and no one is logged in).</t>
        </is>
      </c>
      <c r="F37" s="4" t="inlineStr">
        <is>
          <t>1. Open https://www.saucedemo.com
2. Enter "standard_user" in Username and "secret_sauce" in Password
3. Click Login
4. Add Onesie and open the cart
5. Click "Continue Shopping"</t>
        </is>
      </c>
      <c r="G37" s="4" t="inlineStr">
        <is>
          <t>Sauce Labs Onesie</t>
        </is>
      </c>
      <c r="H37" s="4" t="inlineStr">
        <is>
          <t>1. Login page shows the Username field, Password field and Login button.
2. Text is typed. Password shows as dots.
3. Products page opens. URL ends with /inventory.html. Title is "Products".
4. Onesie is in the cart.
5. Products page opens. Cart number shows 1. Onesie shows "Remove".</t>
        </is>
      </c>
      <c r="I37" s="5" t="inlineStr">
        <is>
          <t>P2</t>
        </is>
      </c>
      <c r="J37" s="4" t="inlineStr">
        <is>
          <t>Yes - extended regression; cart state check.</t>
        </is>
      </c>
      <c r="K37" s="4" t="inlineStr">
        <is>
          <t>As expected - Products page opens. Cart number shows 1. Onesie shows "Remove".</t>
        </is>
      </c>
      <c r="L37" s="5" t="inlineStr">
        <is>
          <t>Pass</t>
        </is>
      </c>
      <c r="M37" s="5" t="inlineStr">
        <is>
          <t>N/A</t>
        </is>
      </c>
      <c r="N37" s="4" t="inlineStr"/>
    </row>
    <row r="38">
      <c r="A38" s="5" t="inlineStr">
        <is>
          <t>TC58</t>
        </is>
      </c>
      <c r="B38" s="5" t="inlineStr">
        <is>
          <t>Cart</t>
        </is>
      </c>
      <c r="C38" s="5" t="inlineStr">
        <is>
          <t>Positive</t>
        </is>
      </c>
      <c r="D38" s="4" t="inlineStr">
        <is>
          <t>Item name in the cart opens the product page</t>
        </is>
      </c>
      <c r="E38" s="4" t="inlineStr">
        <is>
          <t>Use a NEW private / incognito browser window (so the cart is empty and no one is logged in).</t>
        </is>
      </c>
      <c r="F38" s="4" t="inlineStr">
        <is>
          <t>1. Open https://www.saucedemo.com
2. Enter "standard_user" in Username and "secret_sauce" in Password
3. Click Login
4. Add Onesie and open the cart
5. Click the name "Sauce Labs Onesie"</t>
        </is>
      </c>
      <c r="G38" s="4" t="inlineStr">
        <is>
          <t>Sauce Labs Onesie</t>
        </is>
      </c>
      <c r="H38" s="4" t="inlineStr">
        <is>
          <t>1. Login page shows the Username field, Password field and Login button.
2. Text is typed. Password shows as dots.
3. Products page opens. URL ends with /inventory.html. Title is "Products".
4. Onesie is in the cart.
5. Product page for Sauce Labs Onesie opens, price $7.99.</t>
        </is>
      </c>
      <c r="I38" s="5" t="inlineStr">
        <is>
          <t>P3</t>
        </is>
      </c>
      <c r="J38" s="4" t="inlineStr">
        <is>
          <t>Yes - extended regression; cart state check.</t>
        </is>
      </c>
      <c r="K38" s="4" t="inlineStr">
        <is>
          <t>As expected - Product page for Sauce Labs Onesie opens, price $7.99.</t>
        </is>
      </c>
      <c r="L38" s="5" t="inlineStr">
        <is>
          <t>Pass</t>
        </is>
      </c>
      <c r="M38" s="5" t="inlineStr">
        <is>
          <t>N/A</t>
        </is>
      </c>
      <c r="N38" s="4" t="inlineStr"/>
    </row>
    <row r="39">
      <c r="A39" s="5" t="inlineStr">
        <is>
          <t>TC59</t>
        </is>
      </c>
      <c r="B39" s="5" t="inlineStr">
        <is>
          <t>Cart</t>
        </is>
      </c>
      <c r="C39" s="5" t="inlineStr">
        <is>
          <t>Positive</t>
        </is>
      </c>
      <c r="D39" s="4" t="inlineStr">
        <is>
          <t>Cart after logout and login again (same user)</t>
        </is>
      </c>
      <c r="E39" s="4" t="inlineStr">
        <is>
          <t>Use a NEW private / incognito browser window (so the cart is empty and no one is logged in).</t>
        </is>
      </c>
      <c r="F39" s="4" t="inlineStr">
        <is>
          <t>1. Open https://www.saucedemo.com
2. Enter "standard_user" in Username and "secret_sauce" in Password
3. Click Login
4. Add Backpack and Bike Light
5. Menu &gt; Logout, then log in again as standard_user
6. Look at the cart number and open the cart</t>
        </is>
      </c>
      <c r="G39" s="4" t="inlineStr">
        <is>
          <t>standard_user, 2 products</t>
        </is>
      </c>
      <c r="H39" s="4" t="inlineStr">
        <is>
          <t>1. Login page shows the Username field, Password field and Login button.
2. Text is typed. Password shows as dots.
3. Products page opens. URL ends with /inventory.html. Title is "Products".
4. Cart number shows 2.
5. Products page opens.
6. Cart still has Backpack and Bike Light (cart number 2).</t>
        </is>
      </c>
      <c r="I39" s="5" t="inlineStr">
        <is>
          <t>P2</t>
        </is>
      </c>
      <c r="J39" s="4" t="inlineStr">
        <is>
          <t>Yes - extended regression; cart state check.</t>
        </is>
      </c>
      <c r="K39" s="4" t="inlineStr">
        <is>
          <t>As expected - Cart still has Backpack and Bike Light (cart number 2).</t>
        </is>
      </c>
      <c r="L39" s="5" t="inlineStr">
        <is>
          <t>Pass</t>
        </is>
      </c>
      <c r="M39" s="5" t="inlineStr">
        <is>
          <t>N/A</t>
        </is>
      </c>
      <c r="N39" s="4" t="inlineStr">
        <is>
          <t>ASSUMPTION: the cart is kept after logout (confirm with product owner). Note what you see.</t>
        </is>
      </c>
    </row>
    <row r="40">
      <c r="A40" s="5" t="inlineStr">
        <is>
          <t>TC60</t>
        </is>
      </c>
      <c r="B40" s="5" t="inlineStr">
        <is>
          <t>Cart</t>
        </is>
      </c>
      <c r="C40" s="5" t="inlineStr">
        <is>
          <t>Negative</t>
        </is>
      </c>
      <c r="D40" s="4" t="inlineStr">
        <is>
          <t>One user cannot see another user's cart</t>
        </is>
      </c>
      <c r="E40" s="4" t="inlineStr">
        <is>
          <t>Use a NEW private / incognito browser window (so the cart is empty and no one is logged in).</t>
        </is>
      </c>
      <c r="F40" s="4" t="inlineStr">
        <is>
          <t>1. Open https://www.saucedemo.com
2. Enter "standard_user" in Username and "secret_sauce" in Password
3. Click Login
4. Add Backpack and Bike Light
5. Menu &gt; Logout, then log in as problem_user
6. Look at the cart number and open the cart</t>
        </is>
      </c>
      <c r="G40" s="4" t="inlineStr">
        <is>
          <t>standard_user, then problem_user</t>
        </is>
      </c>
      <c r="H40" s="4" t="inlineStr">
        <is>
          <t>1. Login page shows the Username field, Password field and Login button.
2. Text is typed. Password shows as dots.
3. Products page opens. URL ends with /inventory.html. Title is "Products".
4. Cart number shows 2.
5. Products page opens.
6. Cart is empty. No cart number.</t>
        </is>
      </c>
      <c r="I40" s="5" t="inlineStr">
        <is>
          <t>P1</t>
        </is>
      </c>
      <c r="J40" s="4" t="inlineStr">
        <is>
          <t>Yes - extended regression; cart state check.</t>
        </is>
      </c>
      <c r="K40" s="4" t="inlineStr">
        <is>
          <t>problem_user saw standard_user's cart: the cart number showed 2 instead of an empty cart.</t>
        </is>
      </c>
      <c r="L40" s="5" t="inlineStr">
        <is>
          <t>Fail</t>
        </is>
      </c>
      <c r="M40" s="5" t="inlineStr">
        <is>
          <t>BUG-06</t>
        </is>
      </c>
      <c r="N40" s="4" t="inlineStr">
        <is>
          <t>ASSUMPTION: each user has their own cart (privacy; confirm with product owner). Note what you see.</t>
        </is>
      </c>
    </row>
    <row r="41">
      <c r="A41" s="5" t="inlineStr">
        <is>
          <t>TC61</t>
        </is>
      </c>
      <c r="B41" s="5" t="inlineStr">
        <is>
          <t>Cart</t>
        </is>
      </c>
      <c r="C41" s="5" t="inlineStr">
        <is>
          <t>Boundary</t>
        </is>
      </c>
      <c r="D41" s="4" t="inlineStr">
        <is>
          <t>Add all 6 products</t>
        </is>
      </c>
      <c r="E41" s="4" t="inlineStr">
        <is>
          <t>Use a NEW private / incognito browser window (so the cart is empty and no one is logged in).</t>
        </is>
      </c>
      <c r="F41" s="4" t="inlineStr">
        <is>
          <t>1. Open https://www.saucedemo.com
2. Enter "standard_user" in Username and "secret_sauce" in Password
3. Click Login
4. Click "Add to cart" on all 6 products
5. Open the cart</t>
        </is>
      </c>
      <c r="G41" s="4" t="inlineStr">
        <is>
          <t>All 6 products</t>
        </is>
      </c>
      <c r="H41" s="4" t="inlineStr">
        <is>
          <t>1. Login page shows the Username field, Password field and Login button.
2. Text is typed. Password shows as dots.
3. Products page opens. URL ends with /inventory.html. Title is "Products".
4. All buttons show "Remove". Cart number shows 6.
5. 6 items listed, each with quantity 1 and the same price as the Products page.</t>
        </is>
      </c>
      <c r="I41" s="5" t="inlineStr">
        <is>
          <t>P2</t>
        </is>
      </c>
      <c r="J41" s="4" t="inlineStr">
        <is>
          <t>Yes - extended regression; cart state check.</t>
        </is>
      </c>
      <c r="K41" s="4" t="inlineStr">
        <is>
          <t>As expected - 6 items listed, each with quantity 1 and the same price as the Products page.</t>
        </is>
      </c>
      <c r="L41" s="5" t="inlineStr">
        <is>
          <t>Pass</t>
        </is>
      </c>
      <c r="M41" s="5" t="inlineStr">
        <is>
          <t>N/A</t>
        </is>
      </c>
      <c r="N41" s="4" t="inlineStr"/>
    </row>
    <row r="42">
      <c r="A42" s="5" t="inlineStr">
        <is>
          <t>TC62</t>
        </is>
      </c>
      <c r="B42" s="5" t="inlineStr">
        <is>
          <t>Cart</t>
        </is>
      </c>
      <c r="C42" s="5" t="inlineStr">
        <is>
          <t>Boundary</t>
        </is>
      </c>
      <c r="D42" s="4" t="inlineStr">
        <is>
          <t>Remove all products from the Products page</t>
        </is>
      </c>
      <c r="E42" s="4" t="inlineStr">
        <is>
          <t>Use a NEW private / incognito browser window (so the cart is empty and no one is logged in).</t>
        </is>
      </c>
      <c r="F42" s="4" t="inlineStr">
        <is>
          <t>1. Open https://www.saucedemo.com
2. Enter "standard_user" in Username and "secret_sauce" in Password
3. Click Login
4. Add Backpack and Onesie
5. Click "Remove" on both on the Products page</t>
        </is>
      </c>
      <c r="G42" s="4" t="inlineStr">
        <is>
          <t>2 products</t>
        </is>
      </c>
      <c r="H42" s="4" t="inlineStr">
        <is>
          <t>1. Login page shows the Username field, Password field and Login button.
2. Text is typed. Password shows as dots.
3. Products page opens. URL ends with /inventory.html. Title is "Products".
4. Cart number shows 2.
5. Cart number disappears (does not show 0). Both buttons show "Add to cart".</t>
        </is>
      </c>
      <c r="I42" s="5" t="inlineStr">
        <is>
          <t>P2</t>
        </is>
      </c>
      <c r="J42" s="4" t="inlineStr">
        <is>
          <t>Yes - extended regression; cart state check.</t>
        </is>
      </c>
      <c r="K42" s="4" t="inlineStr">
        <is>
          <t>As expected - Cart number disappears (does not show 0). Both buttons show "Add to cart".</t>
        </is>
      </c>
      <c r="L42" s="5" t="inlineStr">
        <is>
          <t>Pass</t>
        </is>
      </c>
      <c r="M42" s="5" t="inlineStr">
        <is>
          <t>N/A</t>
        </is>
      </c>
      <c r="N42" s="4" t="inlineStr"/>
    </row>
    <row r="43">
      <c r="A43" s="5" t="inlineStr">
        <is>
          <t>TC63</t>
        </is>
      </c>
      <c r="B43" s="5" t="inlineStr">
        <is>
          <t>Checkout</t>
        </is>
      </c>
      <c r="C43" s="5" t="inlineStr">
        <is>
          <t>Positive</t>
        </is>
      </c>
      <c r="D43" s="4" t="inlineStr">
        <is>
          <t>Names with special and international letters</t>
        </is>
      </c>
      <c r="E43" s="4" t="inlineStr">
        <is>
          <t>Use a NEW private / incognito browser window (so the cart is empty and no one is logged in).</t>
        </is>
      </c>
      <c r="F43" s="4" t="inlineStr">
        <is>
          <t>1. Open https://www.saucedemo.com
2. Enter "standard_user" in Username and "secret_sauce" in Password
3. Click Login
4. Click "Add to cart" on Sauce Labs Onesie
5. Click the cart icon, then click Checkout
6. Enter First Name O'Brien, Last Name Customer, Zip 12345, click Continue
7. Repeat with José, Anne-Marie and 李</t>
        </is>
      </c>
      <c r="G43" s="4" t="inlineStr">
        <is>
          <t>Run 4 times: O'Brien / José / Anne-Marie / 李 as First Name; Last Name: Customer; Zip: 12345</t>
        </is>
      </c>
      <c r="H43"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opens.
7. "Checkout: Overview" opens each time.</t>
        </is>
      </c>
      <c r="I43" s="5" t="inlineStr">
        <is>
          <t>P2</t>
        </is>
      </c>
      <c r="J43" s="4" t="inlineStr">
        <is>
          <t>Yes - extended regression; form and checkout check.</t>
        </is>
      </c>
      <c r="K43" s="4" t="inlineStr">
        <is>
          <t>As expected - O'Brien, José, Anne-Marie and 李 were all accepted and the Overview opened.</t>
        </is>
      </c>
      <c r="L43" s="5" t="inlineStr">
        <is>
          <t>Pass</t>
        </is>
      </c>
      <c r="M43" s="5" t="inlineStr">
        <is>
          <t>N/A</t>
        </is>
      </c>
      <c r="N43" s="4" t="inlineStr"/>
    </row>
    <row r="44">
      <c r="A44" s="5" t="inlineStr">
        <is>
          <t>TC64</t>
        </is>
      </c>
      <c r="B44" s="5" t="inlineStr">
        <is>
          <t>Checkout</t>
        </is>
      </c>
      <c r="C44" s="5" t="inlineStr">
        <is>
          <t>Positive</t>
        </is>
      </c>
      <c r="D44" s="4" t="inlineStr">
        <is>
          <t>Different zip / postal code formats</t>
        </is>
      </c>
      <c r="E44" s="4" t="inlineStr">
        <is>
          <t>Use a NEW private / incognito browser window (so the cart is empty and no one is logged in).</t>
        </is>
      </c>
      <c r="F44" s="4" t="inlineStr">
        <is>
          <t>1. Open https://www.saucedemo.com
2. Enter "standard_user" in Username and "secret_sauce" in Password
3. Click Login
4. Click "Add to cart" on Sauce Labs Onesie
5. Click the cart icon, then click Checkout
6. Enter Test / Customer / 12345-6789, click Continue
7. Repeat with SW1A 1AA and 560001</t>
        </is>
      </c>
      <c r="G44" s="4" t="inlineStr">
        <is>
          <t>Run 3 times: 12345-6789 / SW1A 1AA / 560001</t>
        </is>
      </c>
      <c r="H44"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opens.
7. "Checkout: Overview" opens each time.</t>
        </is>
      </c>
      <c r="I44" s="5" t="inlineStr">
        <is>
          <t>P3</t>
        </is>
      </c>
      <c r="J44" s="4" t="inlineStr">
        <is>
          <t>Yes - extended regression; form and checkout check.</t>
        </is>
      </c>
      <c r="K44" s="4" t="inlineStr">
        <is>
          <t>As expected - 12345-6789, SW1A 1AA and 560001 were all accepted and the Overview opened.</t>
        </is>
      </c>
      <c r="L44" s="5" t="inlineStr">
        <is>
          <t>Pass</t>
        </is>
      </c>
      <c r="M44" s="5" t="inlineStr">
        <is>
          <t>N/A</t>
        </is>
      </c>
      <c r="N44" s="4" t="inlineStr">
        <is>
          <t>ASSUMPTION: any format is accepted (no rule published; confirm with product owner).</t>
        </is>
      </c>
    </row>
    <row r="45">
      <c r="A45" s="5" t="inlineStr">
        <is>
          <t>TC65</t>
        </is>
      </c>
      <c r="B45" s="5" t="inlineStr">
        <is>
          <t>Checkout</t>
        </is>
      </c>
      <c r="C45" s="5" t="inlineStr">
        <is>
          <t>Positive</t>
        </is>
      </c>
      <c r="D45" s="4" t="inlineStr">
        <is>
          <t>Close the checkout error and fix it</t>
        </is>
      </c>
      <c r="E45" s="4" t="inlineStr">
        <is>
          <t>Use a NEW private / incognito browser window (so the cart is empty and no one is logged in).</t>
        </is>
      </c>
      <c r="F45" s="4" t="inlineStr">
        <is>
          <t>1. Open https://www.saucedemo.com
2. Enter "standard_user" in Username and "secret_sauce" in Password
3. Click Login
4. Click "Add to cart" on Sauce Labs Onesie
5. Click the cart icon, then click Checkout
6. Leave First Name empty, enter Customer / 12345, click Continue
7. Click X, then enter "Test" and click Continue</t>
        </is>
      </c>
      <c r="G45" s="4" t="inlineStr">
        <is>
          <t>First Name empty, then "Test"</t>
        </is>
      </c>
      <c r="H45" s="4" t="inlineStr">
        <is>
          <t>1. Login page shows the Username field, Password field and Login button.
2. Text is typed. Password shows as dots.
3. Products page opens. URL ends with /inventory.html. Title is "Products".
4. Button changes to "Remove".
5. "Checkout: Your Information" page opens.
6. Error: "Error: First Name is required" with an X button.
7. Error disappears. "Checkout: Overview" opens.</t>
        </is>
      </c>
      <c r="I45" s="5" t="inlineStr">
        <is>
          <t>P3</t>
        </is>
      </c>
      <c r="J45" s="4" t="inlineStr">
        <is>
          <t>Yes - extended regression; form and checkout check.</t>
        </is>
      </c>
      <c r="K45" s="4" t="inlineStr">
        <is>
          <t>As expected - Error disappears. "Checkout: Overview" opens.</t>
        </is>
      </c>
      <c r="L45" s="5" t="inlineStr">
        <is>
          <t>Pass</t>
        </is>
      </c>
      <c r="M45" s="5" t="inlineStr">
        <is>
          <t>N/A</t>
        </is>
      </c>
      <c r="N45" s="4" t="inlineStr"/>
    </row>
    <row r="46">
      <c r="A46" s="5" t="inlineStr">
        <is>
          <t>TC66</t>
        </is>
      </c>
      <c r="B46" s="5" t="inlineStr">
        <is>
          <t>Checkout</t>
        </is>
      </c>
      <c r="C46" s="5" t="inlineStr">
        <is>
          <t>Positive</t>
        </is>
      </c>
      <c r="D46" s="4" t="inlineStr">
        <is>
          <t>Payment and shipping details on the Overview</t>
        </is>
      </c>
      <c r="E46" s="4" t="inlineStr">
        <is>
          <t>Use a NEW private / incognito browser window (so the cart is empty and no one is logged in).</t>
        </is>
      </c>
      <c r="F46"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Look at the Overview page</t>
        </is>
      </c>
      <c r="G46" s="4" t="inlineStr">
        <is>
          <t>Sauce Labs Onesie</t>
        </is>
      </c>
      <c r="H46"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Payment Information: "SauceCard #31337". Shipping Information: "Free Pony Express Delivery!".</t>
        </is>
      </c>
      <c r="I46" s="5" t="inlineStr">
        <is>
          <t>P3</t>
        </is>
      </c>
      <c r="J46" s="4" t="inlineStr">
        <is>
          <t>Yes - extended regression; form and checkout check.</t>
        </is>
      </c>
      <c r="K46" s="4" t="inlineStr">
        <is>
          <t>As expected - Payment Information: "SauceCard #31337". Shipping Information: "Free Pony Express Delivery!".</t>
        </is>
      </c>
      <c r="L46" s="5" t="inlineStr">
        <is>
          <t>Pass</t>
        </is>
      </c>
      <c r="M46" s="5" t="inlineStr">
        <is>
          <t>N/A</t>
        </is>
      </c>
      <c r="N46" s="4" t="inlineStr"/>
    </row>
    <row r="47">
      <c r="A47" s="5" t="inlineStr">
        <is>
          <t>TC67</t>
        </is>
      </c>
      <c r="B47" s="5" t="inlineStr">
        <is>
          <t>Checkout</t>
        </is>
      </c>
      <c r="C47" s="5" t="inlineStr">
        <is>
          <t>Positive</t>
        </is>
      </c>
      <c r="D47" s="4" t="inlineStr">
        <is>
          <t>Refresh the Overview page</t>
        </is>
      </c>
      <c r="E47" s="4" t="inlineStr">
        <is>
          <t>Use a NEW private / incognito browser window (so the cart is empty and no one is logged in).</t>
        </is>
      </c>
      <c r="F47"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Note Item total, Tax and Total, then press F5</t>
        </is>
      </c>
      <c r="G47" s="4" t="inlineStr">
        <is>
          <t>Sauce Labs Onesie</t>
        </is>
      </c>
      <c r="H47"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Same item, same Item total ($7.99), Tax and Total.</t>
        </is>
      </c>
      <c r="I47" s="5" t="inlineStr">
        <is>
          <t>P2</t>
        </is>
      </c>
      <c r="J47" s="4" t="inlineStr">
        <is>
          <t>Yes - extended regression; form and checkout check.</t>
        </is>
      </c>
      <c r="K47" s="4" t="inlineStr">
        <is>
          <t>As expected - Same item, same Item total ($7.99), Tax and Total.</t>
        </is>
      </c>
      <c r="L47" s="5" t="inlineStr">
        <is>
          <t>Pass</t>
        </is>
      </c>
      <c r="M47" s="5" t="inlineStr">
        <is>
          <t>N/A</t>
        </is>
      </c>
      <c r="N47" s="4" t="inlineStr"/>
    </row>
    <row r="48">
      <c r="A48" s="5" t="inlineStr">
        <is>
          <t>TC68</t>
        </is>
      </c>
      <c r="B48" s="5" t="inlineStr">
        <is>
          <t>Checkout</t>
        </is>
      </c>
      <c r="C48" s="5" t="inlineStr">
        <is>
          <t>Positive</t>
        </is>
      </c>
      <c r="D48" s="4" t="inlineStr">
        <is>
          <t>Browser Back from Overview</t>
        </is>
      </c>
      <c r="E48" s="4" t="inlineStr">
        <is>
          <t>Use a NEW private / incognito browser window (so the cart is empty and no one is logged in).</t>
        </is>
      </c>
      <c r="F48"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Press the browser Back button
8. Look at the fields</t>
        </is>
      </c>
      <c r="G48" s="4" t="inlineStr">
        <is>
          <t>Sauce Labs Onesie</t>
        </is>
      </c>
      <c r="H48"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"Checkout: Your Information" page opens.
8. Note if Test / Customer / 12345 are still filled.</t>
        </is>
      </c>
      <c r="I48" s="5" t="inlineStr">
        <is>
          <t>P3</t>
        </is>
      </c>
      <c r="J48" s="4" t="inlineStr">
        <is>
          <t>Yes - extended regression; form and checkout check.</t>
        </is>
      </c>
      <c r="K48" s="4" t="inlineStr">
        <is>
          <t>As expected - the "Checkout: Your Information" page opened. Whether the typed details stay filled was not checked.</t>
        </is>
      </c>
      <c r="L48" s="5" t="inlineStr">
        <is>
          <t>Pass</t>
        </is>
      </c>
      <c r="M48" s="5" t="inlineStr">
        <is>
          <t>N/A</t>
        </is>
      </c>
      <c r="N48" s="4" t="inlineStr">
        <is>
          <t>No rule given for keeping the values (confirm with product owner).</t>
        </is>
      </c>
    </row>
    <row r="49">
      <c r="A49" s="5" t="inlineStr">
        <is>
          <t>TC69</t>
        </is>
      </c>
      <c r="B49" s="5" t="inlineStr">
        <is>
          <t>Checkout</t>
        </is>
      </c>
      <c r="C49" s="5" t="inlineStr">
        <is>
          <t>Negative</t>
        </is>
      </c>
      <c r="D49" s="4" t="inlineStr">
        <is>
          <t>Checkout with all fields empty</t>
        </is>
      </c>
      <c r="E49" s="4" t="inlineStr">
        <is>
          <t>Use a NEW private / incognito browser window (so the cart is empty and no one is logged in).</t>
        </is>
      </c>
      <c r="F49" s="4" t="inlineStr">
        <is>
          <t>1. Open https://www.saucedemo.com
2. Enter "standard_user" in Username and "secret_sauce" in Password
3. Click Login
4. Click "Add to cart" on Sauce Labs Onesie
5. Click the cart icon, then click Checkout
6. Leave all fields empty and click Continue</t>
        </is>
      </c>
      <c r="G49" s="4" t="inlineStr">
        <is>
          <t>All fields empty</t>
        </is>
      </c>
      <c r="H49" s="4" t="inlineStr">
        <is>
          <t>1. Login page shows the Username field, Password field and Login button.
2. Text is typed. Password shows as dots.
3. Products page opens. URL ends with /inventory.html. Title is "Products".
4. Button changes to "Remove".
5. "Checkout: Your Information" page opens.
6. Error: "Error: First Name is required" (first field is checked first). Still on "Checkout: Your Information".</t>
        </is>
      </c>
      <c r="I49" s="5" t="inlineStr">
        <is>
          <t>P2</t>
        </is>
      </c>
      <c r="J49" s="4" t="inlineStr">
        <is>
          <t>Yes - extended regression; form and checkout check.</t>
        </is>
      </c>
      <c r="K49" s="4" t="inlineStr">
        <is>
          <t>As expected - Error: "Error: First Name is required" (first field is checked first). Still on "Checkout: Your Information".</t>
        </is>
      </c>
      <c r="L49" s="5" t="inlineStr">
        <is>
          <t>Pass</t>
        </is>
      </c>
      <c r="M49" s="5" t="inlineStr">
        <is>
          <t>N/A</t>
        </is>
      </c>
      <c r="N49" s="4" t="inlineStr"/>
    </row>
    <row r="50">
      <c r="A50" s="5" t="inlineStr">
        <is>
          <t>TC70</t>
        </is>
      </c>
      <c r="B50" s="5" t="inlineStr">
        <is>
          <t>Checkout</t>
        </is>
      </c>
      <c r="C50" s="5" t="inlineStr">
        <is>
          <t>Negative</t>
        </is>
      </c>
      <c r="D50" s="4" t="inlineStr">
        <is>
          <t>Checkout with only spaces in all fields</t>
        </is>
      </c>
      <c r="E50" s="4" t="inlineStr">
        <is>
          <t>Use a NEW private / incognito browser window (so the cart is empty and no one is logged in).</t>
        </is>
      </c>
      <c r="F50" s="4" t="inlineStr">
        <is>
          <t>1. Open https://www.saucedemo.com
2. Enter "standard_user" in Username and "secret_sauce" in Password
3. Click Login
4. Click "Add to cart" on Sauce Labs Onesie
5. Click the cart icon, then click Checkout
6. Type 3 spaces in First Name, Last Name and Zip, click Continue</t>
        </is>
      </c>
      <c r="G50" s="4" t="inlineStr">
        <is>
          <t>First Name, Last Name, Zip: 3 spaces each</t>
        </is>
      </c>
      <c r="H50" s="4" t="inlineStr">
        <is>
          <t>1. Login page shows the Username field, Password field and Login button.
2. Text is typed. Password shows as dots.
3. Products page opens. URL ends with /inventory.html. Title is "Products".
4. Button changes to "Remove".
5. "Checkout: Your Information" page opens.
6. Error is shown. User stays on "Checkout: Your Information".</t>
        </is>
      </c>
      <c r="I50" s="5" t="inlineStr">
        <is>
          <t>P2</t>
        </is>
      </c>
      <c r="J50" s="4" t="inlineStr">
        <is>
          <t>Yes - extended regression; form and checkout check.</t>
        </is>
      </c>
      <c r="K50" s="4" t="inlineStr">
        <is>
          <t>No error was shown. The Overview page opened with details made of spaces only.</t>
        </is>
      </c>
      <c r="L50" s="5" t="inlineStr">
        <is>
          <t>Fail</t>
        </is>
      </c>
      <c r="M50" s="5" t="inlineStr">
        <is>
          <t>BUG-02</t>
        </is>
      </c>
      <c r="N50" s="4" t="inlineStr">
        <is>
          <t>ASSUMPTION: blank (spaces only) is not a valid name (confirm with product owner). Seen on 27-Oct-2026: ACCEPTED and Overview opened - possible bug (BUG-02).</t>
        </is>
      </c>
    </row>
    <row r="51">
      <c r="A51" s="5" t="inlineStr">
        <is>
          <t>TC71</t>
        </is>
      </c>
      <c r="B51" s="5" t="inlineStr">
        <is>
          <t>Checkout</t>
        </is>
      </c>
      <c r="C51" s="5" t="inlineStr">
        <is>
          <t>Negative</t>
        </is>
      </c>
      <c r="D51" s="4" t="inlineStr">
        <is>
          <t>Script text in First Name is treated as plain text</t>
        </is>
      </c>
      <c r="E51" s="4" t="inlineStr">
        <is>
          <t>Use a NEW private / incognito browser window (so the cart is empty and no one is logged in).</t>
        </is>
      </c>
      <c r="F51" s="4" t="inlineStr">
        <is>
          <t>1. Open https://www.saucedemo.com
2. Enter "standard_user" in Username and "secret_sauce" in Password
3. Click Login
4. Click "Add to cart" on Sauce Labs Onesie
5. Click the cart icon, then click Checkout
6. Enter &lt;img src=x onerror=alert(1)&gt; as First Name, Customer / 12345, click Continue</t>
        </is>
      </c>
      <c r="G51" s="4" t="inlineStr">
        <is>
          <t>First Name: &lt;img src=x onerror=alert(1)&gt;</t>
        </is>
      </c>
      <c r="H51" s="4" t="inlineStr">
        <is>
          <t>1. Login page shows the Username field, Password field and Login button.
2. Text is typed. Password shows as dots.
3. Products page opens. URL ends with /inventory.html. Title is "Products".
4. Button changes to "Remove".
5. "Checkout: Your Information" page opens.
6. No pop-up appears. "Checkout: Overview" opens.</t>
        </is>
      </c>
      <c r="I51" s="5" t="inlineStr">
        <is>
          <t>P2</t>
        </is>
      </c>
      <c r="J51" s="4" t="inlineStr">
        <is>
          <t>Yes - extended regression; form and checkout check.</t>
        </is>
      </c>
      <c r="K51" s="4" t="inlineStr">
        <is>
          <t>As expected - No pop-up appears. "Checkout: Overview" opens.</t>
        </is>
      </c>
      <c r="L51" s="5" t="inlineStr">
        <is>
          <t>Pass</t>
        </is>
      </c>
      <c r="M51" s="5" t="inlineStr">
        <is>
          <t>N/A</t>
        </is>
      </c>
      <c r="N51" s="4" t="inlineStr">
        <is>
          <t>Safe check only. No real attack is done.</t>
        </is>
      </c>
    </row>
    <row r="52">
      <c r="A52" s="5" t="inlineStr">
        <is>
          <t>TC72</t>
        </is>
      </c>
      <c r="B52" s="5" t="inlineStr">
        <is>
          <t>Checkout</t>
        </is>
      </c>
      <c r="C52" s="5" t="inlineStr">
        <is>
          <t>Negative</t>
        </is>
      </c>
      <c r="D52" s="4" t="inlineStr">
        <is>
          <t>Open the Overview page with an empty cart</t>
        </is>
      </c>
      <c r="E52" s="4" t="inlineStr">
        <is>
          <t>Use a NEW private / incognito browser window (so the cart is empty and no one is logged in).</t>
        </is>
      </c>
      <c r="F52" s="4" t="inlineStr">
        <is>
          <t>1. Open https://www.saucedemo.com
2. Enter "standard_user" in Username and "secret_sauce" in Password
3. Click Login
4. With an empty cart, type https://www.saucedemo.com/checkout-step-two.html in the address bar</t>
        </is>
      </c>
      <c r="G52" s="4" t="inlineStr">
        <is>
          <t>https://www.saucedemo.com/checkout-step-two.html</t>
        </is>
      </c>
      <c r="H52" s="4" t="inlineStr">
        <is>
          <t>1. Login page shows the Username field, Password field and Login button.
2. Text is typed. Password shows as dots.
3. Products page opens. URL ends with /inventory.html. Title is "Products".
4. Order cannot be finished with no items (Finish blocked or user sent back).</t>
        </is>
      </c>
      <c r="I52" s="5" t="inlineStr">
        <is>
          <t>P2</t>
        </is>
      </c>
      <c r="J52" s="4" t="inlineStr">
        <is>
          <t>Yes - extended regression; form and checkout check.</t>
        </is>
      </c>
      <c r="K52" s="4" t="inlineStr">
        <is>
          <t>The Overview page opened with Total $0.00 and a Finish button.</t>
        </is>
      </c>
      <c r="L52" s="5" t="inlineStr">
        <is>
          <t>Fail</t>
        </is>
      </c>
      <c r="M52" s="5" t="inlineStr">
        <is>
          <t>BUG-03</t>
        </is>
      </c>
      <c r="N52" s="4" t="inlineStr">
        <is>
          <t>ASSUMPTION: an empty order should not be possible (confirm with product owner). Seen on 27-Oct-2026: Total $0.00 and Finish button shown - possible bug (BUG-03).</t>
        </is>
      </c>
    </row>
    <row r="53">
      <c r="A53" s="5" t="inlineStr">
        <is>
          <t>TC73</t>
        </is>
      </c>
      <c r="B53" s="5" t="inlineStr">
        <is>
          <t>Checkout</t>
        </is>
      </c>
      <c r="C53" s="5" t="inlineStr">
        <is>
          <t>Negative</t>
        </is>
      </c>
      <c r="D53" s="4" t="inlineStr">
        <is>
          <t>Checkout button with an empty cart</t>
        </is>
      </c>
      <c r="E53" s="4" t="inlineStr">
        <is>
          <t>Use a NEW private / incognito browser window (so the cart is empty and no one is logged in).</t>
        </is>
      </c>
      <c r="F53" s="4" t="inlineStr">
        <is>
          <t>1. Open https://www.saucedemo.com
2. Enter "standard_user" in Username and "secret_sauce" in Password
3. Click Login
4. Open the cart with no items
5. Click Checkout</t>
        </is>
      </c>
      <c r="G53" s="4" t="inlineStr">
        <is>
          <t>Empty cart</t>
        </is>
      </c>
      <c r="H53" s="4" t="inlineStr">
        <is>
          <t>1. Login page shows the Username field, Password field and Login button.
2. Text is typed. Password shows as dots.
3. Products page opens. URL ends with /inventory.html. Title is "Products".
4. Cart is empty.
5. Checkout is blocked or a message says the cart is empty.</t>
        </is>
      </c>
      <c r="I53" s="5" t="inlineStr">
        <is>
          <t>P2</t>
        </is>
      </c>
      <c r="J53" s="4" t="inlineStr">
        <is>
          <t>Yes - extended regression; form and checkout check.</t>
        </is>
      </c>
      <c r="K53" s="4" t="inlineStr">
        <is>
          <t>Checkout opened even though the cart was empty.</t>
        </is>
      </c>
      <c r="L53" s="5" t="inlineStr">
        <is>
          <t>Fail</t>
        </is>
      </c>
      <c r="M53" s="5" t="inlineStr">
        <is>
          <t>BUG-03</t>
        </is>
      </c>
      <c r="N53" s="4" t="inlineStr">
        <is>
          <t>ASSUMPTION (confirm with product owner). Seen on 27-Oct-2026: Checkout opens with an empty cart (BUG-03).</t>
        </is>
      </c>
    </row>
    <row r="54">
      <c r="A54" s="5" t="inlineStr">
        <is>
          <t>TC74</t>
        </is>
      </c>
      <c r="B54" s="5" t="inlineStr">
        <is>
          <t>Checkout</t>
        </is>
      </c>
      <c r="C54" s="5" t="inlineStr">
        <is>
          <t>Boundary</t>
        </is>
      </c>
      <c r="D54" s="4" t="inlineStr">
        <is>
          <t>Very long name values</t>
        </is>
      </c>
      <c r="E54" s="4" t="inlineStr">
        <is>
          <t>Use a NEW private / incognito browser window (so the cart is empty and no one is logged in).</t>
        </is>
      </c>
      <c r="F54" s="4" t="inlineStr">
        <is>
          <t>1. Open https://www.saucedemo.com
2. Enter "standard_user" in Username and "secret_sauce" in Password
3. Click Login
4. Click "Add to cart" on Sauce Labs Onesie
5. Click the cart icon, then click Checkout
6. Paste 255 letters into First Name, Last Name and Zip, click Continue</t>
        </is>
      </c>
      <c r="G54" s="4" t="inlineStr">
        <is>
          <t>255 letters in each field</t>
        </is>
      </c>
      <c r="H54" s="4" t="inlineStr">
        <is>
          <t>1. Login page shows the Username field, Password field and Login button.
2. Text is typed. Password shows as dots.
3. Products page opens. URL ends with /inventory.html. Title is "Products".
4. Button changes to "Remove".
5. "Checkout: Your Information" page opens.
6. No crash. Page layout is not broken. Note if Overview opens or an error is shown.</t>
        </is>
      </c>
      <c r="I54" s="5" t="inlineStr">
        <is>
          <t>P3</t>
        </is>
      </c>
      <c r="J54" s="4" t="inlineStr">
        <is>
          <t>Yes - extended regression; form and checkout check.</t>
        </is>
      </c>
      <c r="K54" s="4" t="inlineStr">
        <is>
          <t>As expected - the 255-character details were accepted and the Overview page opened. No crash and the page layout was not broken.</t>
        </is>
      </c>
      <c r="L54" s="5" t="inlineStr">
        <is>
          <t>Pass</t>
        </is>
      </c>
      <c r="M54" s="5" t="inlineStr">
        <is>
          <t>N/A</t>
        </is>
      </c>
      <c r="N54" s="4" t="inlineStr">
        <is>
          <t>No length rule is published (confirm with product owner).</t>
        </is>
      </c>
    </row>
    <row r="55">
      <c r="A55" s="5" t="inlineStr">
        <is>
          <t>TC75</t>
        </is>
      </c>
      <c r="B55" s="5" t="inlineStr">
        <is>
          <t>Order Total</t>
        </is>
      </c>
      <c r="C55" s="5" t="inlineStr">
        <is>
          <t>Positive</t>
        </is>
      </c>
      <c r="D55" s="4" t="inlineStr">
        <is>
          <t>Order total for one product</t>
        </is>
      </c>
      <c r="E55" s="4" t="inlineStr">
        <is>
          <t>Use a NEW private / incognito browser window (so the cart is empty and no one is logged in).</t>
        </is>
      </c>
      <c r="F55" s="4" t="inlineStr">
        <is>
          <t>1. Open https://www.saucedemo.com
2. Enter "standard_user" in Username and "secret_sauce" in Password
3. Click Login
4. Click "Add to cart" on Sauce Labs Onesie
5. Click the cart icon
6. Click Checkout, enter Test / Customer / 12345, click Continue
7. Check the items on the Overview
8. Check Item total, Tax and Total
9. Click Finish
10. Click "Back Home"</t>
        </is>
      </c>
      <c r="G55" s="4" t="inlineStr">
        <is>
          <t>User: standard_user
Products: Sauce Labs Onesie ($7.99)
First Name: Test, Last Name: Customer, Zip: 12345</t>
        </is>
      </c>
      <c r="H55" s="4" t="inlineStr">
        <is>
          <t>1. Login page shows the Username field, Password field and Login button.
2. Text is typed. Password shows as dots.
3. Products page opens. URL ends with /inventory.html. Title is "Products". Products are listed. No cart number on the cart icon.
4. Buttons change to "Remove". Cart number shows 1.
5. "Your Cart" page shows exactly the added products at the Products page prices.
6. "Checkout: Overview" page opens.
7. Exactly the added products at the same prices.
8. Item total = $7.99. Total = Item total + Tax (to the cent).
9. Message: "Thank you for your order!"
10. Products page opens. No cart number.</t>
        </is>
      </c>
      <c r="I55" s="5" t="inlineStr">
        <is>
          <t>P1</t>
        </is>
      </c>
      <c r="J55" s="4" t="inlineStr">
        <is>
          <t>Yes - extended regression; money rule.</t>
        </is>
      </c>
      <c r="K55" s="4" t="inlineStr">
        <is>
          <t>As expected - Item total $7.99 + Tax $0.64 = Total $8.63. Order completed, cart empty.</t>
        </is>
      </c>
      <c r="L55" s="5" t="inlineStr">
        <is>
          <t>Pass</t>
        </is>
      </c>
      <c r="M55" s="5" t="inlineStr">
        <is>
          <t>N/A</t>
        </is>
      </c>
      <c r="N55" s="4" t="inlineStr"/>
    </row>
    <row r="56">
      <c r="A56" s="5" t="inlineStr">
        <is>
          <t>TC76</t>
        </is>
      </c>
      <c r="B56" s="5" t="inlineStr">
        <is>
          <t>Order Total</t>
        </is>
      </c>
      <c r="C56" s="5" t="inlineStr">
        <is>
          <t>Positive</t>
        </is>
      </c>
      <c r="D56" s="4" t="inlineStr">
        <is>
          <t>Order total for two products</t>
        </is>
      </c>
      <c r="E56" s="4" t="inlineStr">
        <is>
          <t>Use a NEW private / incognito browser window (so the cart is empty and no one is logged in).</t>
        </is>
      </c>
      <c r="F56" s="4" t="inlineStr">
        <is>
          <t>1. Open https://www.saucedemo.com
2. Enter "standard_user" in Username and "secret_sauce" in Password
3. Click Login
4. Click "Add to cart" on Sauce Labs Backpack and Sauce Labs Bike Light
5. Click the cart icon
6. Click Checkout, enter Test / Customer / 12345, click Continue
7. Check the items on the Overview
8. Check Item total, Tax and Total
9. Click Finish
10. Click "Back Home"</t>
        </is>
      </c>
      <c r="G56" s="4" t="inlineStr">
        <is>
          <t>User: standard_user
Products: Sauce Labs Backpack ($29.99), Sauce Labs Bike Light ($9.99)
First Name: Test, Last Name: Customer, Zip: 12345</t>
        </is>
      </c>
      <c r="H56" s="4" t="inlineStr">
        <is>
          <t>1. Login page shows the Username field, Password field and Login button.
2. Text is typed. Password shows as dots.
3. Products page opens. URL ends with /inventory.html. Title is "Products". Products are listed. No cart number on the cart icon.
4. Buttons change to "Remove". Cart number shows 2.
5. "Your Cart" page shows exactly the added products at the Products page prices.
6. "Checkout: Overview" page opens.
7. Exactly the added products at the same prices.
8. Item total = $29.99 + $9.99 = $39.98. Total = Item total + Tax (to the cent).
9. Message: "Thank you for your order!"
10. Products page opens. No cart number.</t>
        </is>
      </c>
      <c r="I56" s="5" t="inlineStr">
        <is>
          <t>P1</t>
        </is>
      </c>
      <c r="J56" s="4" t="inlineStr">
        <is>
          <t>Yes - extended regression; money rule.</t>
        </is>
      </c>
      <c r="K56" s="4" t="inlineStr">
        <is>
          <t>As expected - Item total $39.98 + Tax $3.20 = Total $43.18. Order completed, cart empty.</t>
        </is>
      </c>
      <c r="L56" s="5" t="inlineStr">
        <is>
          <t>Pass</t>
        </is>
      </c>
      <c r="M56" s="5" t="inlineStr">
        <is>
          <t>N/A</t>
        </is>
      </c>
      <c r="N56" s="4" t="inlineStr"/>
    </row>
    <row r="57">
      <c r="A57" s="5" t="inlineStr">
        <is>
          <t>TC77</t>
        </is>
      </c>
      <c r="B57" s="5" t="inlineStr">
        <is>
          <t>Order Total</t>
        </is>
      </c>
      <c r="C57" s="5" t="inlineStr">
        <is>
          <t>Positive</t>
        </is>
      </c>
      <c r="D57" s="4" t="inlineStr">
        <is>
          <t>Tax rate is the same for different orders</t>
        </is>
      </c>
      <c r="E57" s="4" t="inlineStr">
        <is>
          <t>Use a NEW private / incognito browser window (so the cart is empty and no one is logged in).</t>
        </is>
      </c>
      <c r="F57"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Note Item total and Tax, then work out Tax / Item total
8. Go back, add Backpack and Bike Light instead, reach the Overview again
9. Work out Tax / Item total again</t>
        </is>
      </c>
      <c r="G57" s="4" t="inlineStr">
        <is>
          <t>Order 1: Onesie ($7.99)
Order 2: Backpack + Bike Light ($39.98)</t>
        </is>
      </c>
      <c r="H57"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Seen: $0.64 / $7.99 = about 8%.
8. Item total $39.98.
9. Same rate (about 8%, e.g. $3.20). Total = Item total + Tax in both orders.</t>
        </is>
      </c>
      <c r="I57" s="5" t="inlineStr">
        <is>
          <t>P2</t>
        </is>
      </c>
      <c r="J57" s="4" t="inlineStr">
        <is>
          <t>Yes - extended regression; money rule.</t>
        </is>
      </c>
      <c r="K57" s="4" t="inlineStr">
        <is>
          <t>As expected - both orders used the same tax rate (about 8%).</t>
        </is>
      </c>
      <c r="L57" s="5" t="inlineStr">
        <is>
          <t>Pass</t>
        </is>
      </c>
      <c r="M57" s="5" t="inlineStr">
        <is>
          <t>N/A</t>
        </is>
      </c>
      <c r="N57" s="4" t="inlineStr">
        <is>
          <t>The 8% rate is what the site shows; the business has not given a rate (confirm with product owner).</t>
        </is>
      </c>
    </row>
    <row r="58">
      <c r="A58" s="5" t="inlineStr">
        <is>
          <t>TC78</t>
        </is>
      </c>
      <c r="B58" s="5" t="inlineStr">
        <is>
          <t>Order Completion</t>
        </is>
      </c>
      <c r="C58" s="5" t="inlineStr">
        <is>
          <t>Positive</t>
        </is>
      </c>
      <c r="D58" s="4" t="inlineStr">
        <is>
          <t>Order confirmation page content</t>
        </is>
      </c>
      <c r="E58" s="4" t="inlineStr">
        <is>
          <t>Use a NEW private / incognito browser window (so the cart is empty and no one is logged in).</t>
        </is>
      </c>
      <c r="F58"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Click Finish</t>
        </is>
      </c>
      <c r="G58" s="4" t="inlineStr">
        <is>
          <t>Sauce Labs Onesie</t>
        </is>
      </c>
      <c r="H58"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"Checkout: Complete!" page. Heading "Thank you for your order!". Text "Your order has been dispatched, and will arrive just as fast as the pony can get there!". Pony image. "Back Home" button. No cart number.</t>
        </is>
      </c>
      <c r="I58" s="5" t="inlineStr">
        <is>
          <t>P1</t>
        </is>
      </c>
      <c r="J58" s="4" t="inlineStr">
        <is>
          <t>Yes - for what the user sees; the order count needs an API or database check.</t>
        </is>
      </c>
      <c r="K58" s="4" t="inlineStr">
        <is>
          <t>As expected - "Checkout: Complete!" page. Heading "Thank you for your order!". Text "Your order has been dispatched, and will arrive just as fast as the pony can get there!". Pony image. "Back Home" button. No cart number.</t>
        </is>
      </c>
      <c r="L58" s="5" t="inlineStr">
        <is>
          <t>Pass</t>
        </is>
      </c>
      <c r="M58" s="5" t="inlineStr">
        <is>
          <t>N/A</t>
        </is>
      </c>
      <c r="N58" s="4" t="inlineStr"/>
    </row>
    <row r="59">
      <c r="A59" s="5" t="inlineStr">
        <is>
          <t>TC79</t>
        </is>
      </c>
      <c r="B59" s="5" t="inlineStr">
        <is>
          <t>Order Completion</t>
        </is>
      </c>
      <c r="C59" s="5" t="inlineStr">
        <is>
          <t>Positive</t>
        </is>
      </c>
      <c r="D59" s="4" t="inlineStr">
        <is>
          <t>"Generate PDF order" button</t>
        </is>
      </c>
      <c r="E59" s="4" t="inlineStr">
        <is>
          <t>Use a NEW private / incognito browser window (so the cart is empty and no one is logged in).</t>
        </is>
      </c>
      <c r="F59"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Click Finish
8. Click "Generate PDF order"</t>
        </is>
      </c>
      <c r="G59" s="4" t="inlineStr">
        <is>
          <t>Sauce Labs Onesie</t>
        </is>
      </c>
      <c r="H59"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Confirmation page shows "Generate PDF order" button.
8. A PDF of the order opens or downloads with the item (Onesie $7.99) and the total.</t>
        </is>
      </c>
      <c r="I59" s="5" t="inlineStr">
        <is>
          <t>P3</t>
        </is>
      </c>
      <c r="J59" s="4" t="inlineStr">
        <is>
          <t>Yes - for what the user sees; the order count needs an API or database check.</t>
        </is>
      </c>
      <c r="K59" s="4" t="inlineStr">
        <is>
          <t>A PDF file (swag-labs-order-&lt;date&gt;.pdf) was downloaded and is not empty. The PDF was not opened, so its content still needs a check by hand.</t>
        </is>
      </c>
      <c r="L59" s="5" t="inlineStr">
        <is>
          <t>Pass</t>
        </is>
      </c>
      <c r="M59" s="5" t="inlineStr">
        <is>
          <t>N/A</t>
        </is>
      </c>
      <c r="N59" s="4" t="inlineStr">
        <is>
          <t>ASSUMPTION about the PDF content (feature has no written rule; confirm with product owner).</t>
        </is>
      </c>
    </row>
    <row r="60">
      <c r="A60" s="5" t="inlineStr">
        <is>
          <t>TC80</t>
        </is>
      </c>
      <c r="B60" s="5" t="inlineStr">
        <is>
          <t>Order Completion</t>
        </is>
      </c>
      <c r="C60" s="5" t="inlineStr">
        <is>
          <t>Negative</t>
        </is>
      </c>
      <c r="D60" s="4" t="inlineStr">
        <is>
          <t>Browser Back after the order is placed</t>
        </is>
      </c>
      <c r="E60" s="4" t="inlineStr">
        <is>
          <t>Use a NEW private / incognito browser window (so the cart is empty and no one is logged in).</t>
        </is>
      </c>
      <c r="F60"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Click Finish
8. Press the browser Back button
9. If a Finish button is shown, click it</t>
        </is>
      </c>
      <c r="G60" s="4" t="inlineStr">
        <is>
          <t>Sauce Labs Onesie</t>
        </is>
      </c>
      <c r="H60"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"Thank you for your order!" page.
8. The old order is not shown again with items. Cart stays empty.
9. No second order with items is placed.</t>
        </is>
      </c>
      <c r="I60" s="5" t="inlineStr">
        <is>
          <t>P1</t>
        </is>
      </c>
      <c r="J60" s="4" t="inlineStr">
        <is>
          <t>Yes - for what the user sees; the order count needs an API or database check.</t>
        </is>
      </c>
      <c r="K60" s="4" t="inlineStr">
        <is>
          <t>As expected - after Back, the Overview showed 0 items and the cart stayed empty.</t>
        </is>
      </c>
      <c r="L60" s="5" t="inlineStr">
        <is>
          <t>Pass</t>
        </is>
      </c>
      <c r="M60" s="5" t="inlineStr">
        <is>
          <t>N/A</t>
        </is>
      </c>
      <c r="N60" s="4" t="inlineStr">
        <is>
          <t>Seen on 27-Oct-2026: Back shows the Overview with 0 items.</t>
        </is>
      </c>
    </row>
    <row r="61">
      <c r="A61" s="5" t="inlineStr">
        <is>
          <t>TC81</t>
        </is>
      </c>
      <c r="B61" s="5" t="inlineStr">
        <is>
          <t>Order Completion</t>
        </is>
      </c>
      <c r="C61" s="5" t="inlineStr">
        <is>
          <t>Negative</t>
        </is>
      </c>
      <c r="D61" s="4" t="inlineStr">
        <is>
          <t>Refresh the confirmation page</t>
        </is>
      </c>
      <c r="E61" s="4" t="inlineStr">
        <is>
          <t>Use a NEW private / incognito browser window (so the cart is empty and no one is logged in).</t>
        </is>
      </c>
      <c r="F61"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Click Finish
8. Press F5</t>
        </is>
      </c>
      <c r="G61" s="4" t="inlineStr">
        <is>
          <t>Sauce Labs Onesie</t>
        </is>
      </c>
      <c r="H61"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"Thank you for your order!" page.
8. Same page, no error, cart stays empty. No second order.</t>
        </is>
      </c>
      <c r="I61" s="5" t="inlineStr">
        <is>
          <t>P2</t>
        </is>
      </c>
      <c r="J61" s="4" t="inlineStr">
        <is>
          <t>Yes - for what the user sees; the order count needs an API or database check.</t>
        </is>
      </c>
      <c r="K61" s="4" t="inlineStr">
        <is>
          <t>As expected - Same page, no error, cart stays empty. No second order.</t>
        </is>
      </c>
      <c r="L61" s="5" t="inlineStr">
        <is>
          <t>Pass</t>
        </is>
      </c>
      <c r="M61" s="5" t="inlineStr">
        <is>
          <t>N/A</t>
        </is>
      </c>
      <c r="N61" s="4" t="inlineStr"/>
    </row>
    <row r="62">
      <c r="A62" s="5" t="inlineStr">
        <is>
          <t>TC82</t>
        </is>
      </c>
      <c r="B62" s="5" t="inlineStr">
        <is>
          <t>Order Completion</t>
        </is>
      </c>
      <c r="C62" s="5" t="inlineStr">
        <is>
          <t>Negative</t>
        </is>
      </c>
      <c r="D62" s="4" t="inlineStr">
        <is>
          <t>Finish the same cart in two tabs</t>
        </is>
      </c>
      <c r="E62" s="4" t="inlineStr">
        <is>
          <t>Use a NEW private / incognito browser window (so the cart is empty and no one is logged in).</t>
        </is>
      </c>
      <c r="F62" s="4" t="inlineStr">
        <is>
          <t>1. Open https://www.saucedemo.com
2. Enter "standard_user" in Username and "secret_sauce" in Password
3. Click Login
4. Click "Add to cart" on Sauce Labs Onesie
5. Click the cart icon, then click Checkout
6. Enter First Name "Test", Last Name "Customer", Zip "12345" and click Continue
7. Copy the Overview URL into a second tab
8. Click Finish in tab 1, then in tab 2</t>
        </is>
      </c>
      <c r="G62" s="4" t="inlineStr">
        <is>
          <t>Sauce Labs Onesie</t>
        </is>
      </c>
      <c r="H62" s="4" t="inlineStr">
        <is>
          <t>1. Login page shows the Username field, Password field and Login button.
2. Text is typed. Password shows as dots.
3. Products page opens. URL ends with /inventory.html. Title is "Products".
4. Button changes to "Remove".
5. "Checkout: Your Information" page opens.
6. "Checkout: Overview" page opens. URL ends with /checkout-step-two.html.
7. Overview opens in both tabs.
8. Only one order is placed for the one cart. Tab 2 shows a clear result (empty order blocked or message).</t>
        </is>
      </c>
      <c r="I62" s="5" t="inlineStr">
        <is>
          <t>P2</t>
        </is>
      </c>
      <c r="J62" s="4" t="inlineStr">
        <is>
          <t>Yes - for what the user sees; the order count needs an API or database check.</t>
        </is>
      </c>
      <c r="K62" s="4" t="inlineStr">
        <is>
          <t>Tab 2 also showed "Thank you for your order!" for the same cart.</t>
        </is>
      </c>
      <c r="L62" s="5" t="inlineStr">
        <is>
          <t>Fail</t>
        </is>
      </c>
      <c r="M62" s="5" t="inlineStr">
        <is>
          <t>BUG-07</t>
        </is>
      </c>
      <c r="N62" s="4" t="inlineStr">
        <is>
          <t>Needs backend/order list to fully confirm.</t>
        </is>
      </c>
    </row>
    <row r="63">
      <c r="A63" s="5" t="inlineStr">
        <is>
          <t>TC83</t>
        </is>
      </c>
      <c r="B63" s="5" t="inlineStr">
        <is>
          <t>Navigation</t>
        </is>
      </c>
      <c r="C63" s="5" t="inlineStr">
        <is>
          <t>Positive</t>
        </is>
      </c>
      <c r="D63" s="4" t="inlineStr">
        <is>
          <t>Menu opens and closes</t>
        </is>
      </c>
      <c r="E63" s="4" t="inlineStr">
        <is>
          <t>Use a NEW private / incognito browser window (so the cart is empty and no one is logged in).</t>
        </is>
      </c>
      <c r="F63" s="4" t="inlineStr">
        <is>
          <t>1. Open https://www.saucedemo.com
2. Enter "standard_user" in Username and "secret_sauce" in Password
3. Click Login
4. Click the menu button (☰)
5. Click the X in the menu</t>
        </is>
      </c>
      <c r="G63" s="4" t="inlineStr">
        <is>
          <t>-</t>
        </is>
      </c>
      <c r="H63" s="4" t="inlineStr">
        <is>
          <t>1. Login page shows the Username field, Password field and Login button.
2. Text is typed. Password shows as dots.
3. Products page opens. URL ends with /inventory.html. Title is "Products".
4. Menu shows: All Items, Dynamic Catalog, About, Logout, Reset App State.
5. Menu closes.</t>
        </is>
      </c>
      <c r="I63" s="5" t="inlineStr">
        <is>
          <t>P2</t>
        </is>
      </c>
      <c r="J63" s="4" t="inlineStr">
        <is>
          <t>Yes - extended regression; stable navigation check.</t>
        </is>
      </c>
      <c r="K63" s="4" t="inlineStr">
        <is>
          <t>As expected - the menu showed All Items, Dynamic Catalog, About, Logout, Reset App State and closed with X.</t>
        </is>
      </c>
      <c r="L63" s="5" t="inlineStr">
        <is>
          <t>Pass</t>
        </is>
      </c>
      <c r="M63" s="5" t="inlineStr">
        <is>
          <t>N/A</t>
        </is>
      </c>
      <c r="N63" s="4" t="inlineStr"/>
    </row>
    <row r="64">
      <c r="A64" s="5" t="inlineStr">
        <is>
          <t>TC84</t>
        </is>
      </c>
      <c r="B64" s="5" t="inlineStr">
        <is>
          <t>Navigation</t>
        </is>
      </c>
      <c r="C64" s="5" t="inlineStr">
        <is>
          <t>Positive</t>
        </is>
      </c>
      <c r="D64" s="4" t="inlineStr">
        <is>
          <t>"All Items" goes back to Products from any page</t>
        </is>
      </c>
      <c r="E64" s="4" t="inlineStr">
        <is>
          <t>Use a NEW private / incognito browser window (so the cart is empty and no one is logged in).</t>
        </is>
      </c>
      <c r="F64" s="4" t="inlineStr">
        <is>
          <t>1. Open https://www.saucedemo.com
2. Enter "standard_user" in Username and "secret_sauce" in Password
3. Click Login
4. Click "Add to cart" on Sauce Labs Onesie
5. Click the cart icon, then click Checkout
6. Menu &gt; All Items</t>
        </is>
      </c>
      <c r="G64" s="4" t="inlineStr">
        <is>
          <t>Sauce Labs Onesie</t>
        </is>
      </c>
      <c r="H64" s="4" t="inlineStr">
        <is>
          <t>1. Login page shows the Username field, Password field and Login button.
2. Text is typed. Password shows as dots.
3. Products page opens. URL ends with /inventory.html. Title is "Products".
4. Button changes to "Remove".
5. "Checkout: Your Information" page opens.
6. Products page opens. Cart number still 1.</t>
        </is>
      </c>
      <c r="I64" s="5" t="inlineStr">
        <is>
          <t>P2</t>
        </is>
      </c>
      <c r="J64" s="4" t="inlineStr">
        <is>
          <t>Yes - extended regression; stable navigation check.</t>
        </is>
      </c>
      <c r="K64" s="4" t="inlineStr">
        <is>
          <t>As expected - Products page opens. Cart number still 1.</t>
        </is>
      </c>
      <c r="L64" s="5" t="inlineStr">
        <is>
          <t>Pass</t>
        </is>
      </c>
      <c r="M64" s="5" t="inlineStr">
        <is>
          <t>N/A</t>
        </is>
      </c>
      <c r="N64" s="4" t="inlineStr"/>
    </row>
    <row r="65">
      <c r="A65" s="5" t="inlineStr">
        <is>
          <t>TC85</t>
        </is>
      </c>
      <c r="B65" s="5" t="inlineStr">
        <is>
          <t>Navigation</t>
        </is>
      </c>
      <c r="C65" s="5" t="inlineStr">
        <is>
          <t>Positive</t>
        </is>
      </c>
      <c r="D65" s="4" t="inlineStr">
        <is>
          <t>"About" link</t>
        </is>
      </c>
      <c r="E65" s="4" t="inlineStr">
        <is>
          <t>Use a NEW private / incognito browser window (so the cart is empty and no one is logged in).</t>
        </is>
      </c>
      <c r="F65" s="4" t="inlineStr">
        <is>
          <t>1. Open https://www.saucedemo.com
2. Enter "standard_user" in Username and "secret_sauce" in Password
3. Click Login
4. Menu &gt; About</t>
        </is>
      </c>
      <c r="G65" s="4" t="inlineStr">
        <is>
          <t>-</t>
        </is>
      </c>
      <c r="H65" s="4" t="inlineStr">
        <is>
          <t>1. Login page shows the Username field, Password field and Login button.
2. Text is typed. Password shows as dots.
3. Products page opens. URL ends with /inventory.html. Title is "Products".
4. Sauce Labs website (saucelabs.com) opens.</t>
        </is>
      </c>
      <c r="I65" s="5" t="inlineStr">
        <is>
          <t>P3</t>
        </is>
      </c>
      <c r="J65" s="4" t="inlineStr">
        <is>
          <t>Yes - extended regression; stable navigation check.</t>
        </is>
      </c>
      <c r="K65" s="4" t="inlineStr">
        <is>
          <t>As expected - the About link points to https://saucelabs.com/. The external site was not opened.</t>
        </is>
      </c>
      <c r="L65" s="5" t="inlineStr">
        <is>
          <t>Pass</t>
        </is>
      </c>
      <c r="M65" s="5" t="inlineStr">
        <is>
          <t>N/A</t>
        </is>
      </c>
      <c r="N65" s="4" t="inlineStr">
        <is>
          <t>Do not test the external site.</t>
        </is>
      </c>
    </row>
    <row r="66">
      <c r="A66" s="5" t="inlineStr">
        <is>
          <t>TC86</t>
        </is>
      </c>
      <c r="B66" s="5" t="inlineStr">
        <is>
          <t>Navigation</t>
        </is>
      </c>
      <c r="C66" s="5" t="inlineStr">
        <is>
          <t>Positive</t>
        </is>
      </c>
      <c r="D66" s="4" t="inlineStr">
        <is>
          <t>"Reset App State" clears the cart</t>
        </is>
      </c>
      <c r="E66" s="4" t="inlineStr">
        <is>
          <t>Use a NEW private / incognito browser window (so the cart is empty and no one is logged in).</t>
        </is>
      </c>
      <c r="F66" s="4" t="inlineStr">
        <is>
          <t>1. Open https://www.saucedemo.com
2. Enter "standard_user" in Username and "secret_sauce" in Password
3. Click Login
4. Add Backpack and Bike Light
5. Menu &gt; Reset App State</t>
        </is>
      </c>
      <c r="G66" s="4" t="inlineStr">
        <is>
          <t>2 products</t>
        </is>
      </c>
      <c r="H66" s="4" t="inlineStr">
        <is>
          <t>1. Login page shows the Username field, Password field and Login button.
2. Text is typed. Password shows as dots.
3. Products page opens. URL ends with /inventory.html. Title is "Products".
4. Cart number shows 2.
5. Cart number disappears. Every product button shows "Add to cart" (without refreshing).</t>
        </is>
      </c>
      <c r="I66" s="5" t="inlineStr">
        <is>
          <t>P2</t>
        </is>
      </c>
      <c r="J66" s="4" t="inlineStr">
        <is>
          <t>Yes - extended regression; stable navigation check.</t>
        </is>
      </c>
      <c r="K66" s="4" t="inlineStr">
        <is>
          <t>The cart number went away, but the products still showed "Remove" until the page was refreshed.</t>
        </is>
      </c>
      <c r="L66" s="5" t="inlineStr">
        <is>
          <t>Fail</t>
        </is>
      </c>
      <c r="M66" s="5" t="inlineStr">
        <is>
          <t>BUG-04</t>
        </is>
      </c>
      <c r="N66" s="4" t="inlineStr">
        <is>
          <t>Seen on 27-Oct-2026: one "Remove" button stayed until the page was refreshed - possible bug (BUG-04).</t>
        </is>
      </c>
    </row>
    <row r="67">
      <c r="A67" s="5" t="inlineStr">
        <is>
          <t>TC87</t>
        </is>
      </c>
      <c r="B67" s="5" t="inlineStr">
        <is>
          <t>Navigation</t>
        </is>
      </c>
      <c r="C67" s="5" t="inlineStr">
        <is>
          <t>Positive</t>
        </is>
      </c>
      <c r="D67" s="4" t="inlineStr">
        <is>
          <t>Cart icon works from every page</t>
        </is>
      </c>
      <c r="E67" s="4" t="inlineStr">
        <is>
          <t>Use a NEW private / incognito browser window (so the cart is empty and no one is logged in).</t>
        </is>
      </c>
      <c r="F67" s="4" t="inlineStr">
        <is>
          <t>1. Open https://www.saucedemo.com
2. Enter "standard_user" in Username and "secret_sauce" in Password
3. Click Login
4. Add Onesie. Click the cart icon from the Products page, a product page and "Checkout: Your Information"</t>
        </is>
      </c>
      <c r="G67" s="4" t="inlineStr">
        <is>
          <t>Sauce Labs Onesie</t>
        </is>
      </c>
      <c r="H67" s="4" t="inlineStr">
        <is>
          <t>1. Login page shows the Username field, Password field and Login button.
2. Text is typed. Password shows as dots.
3. Products page opens. URL ends with /inventory.html. Title is "Products".
4. "Your Cart" opens each time with Onesie in it.</t>
        </is>
      </c>
      <c r="I67" s="5" t="inlineStr">
        <is>
          <t>P2</t>
        </is>
      </c>
      <c r="J67" s="4" t="inlineStr">
        <is>
          <t>Yes - extended regression; stable navigation check.</t>
        </is>
      </c>
      <c r="K67" s="4" t="inlineStr">
        <is>
          <t>As expected - "Your Cart" opens each time with Onesie in it.</t>
        </is>
      </c>
      <c r="L67" s="5" t="inlineStr">
        <is>
          <t>Pass</t>
        </is>
      </c>
      <c r="M67" s="5" t="inlineStr">
        <is>
          <t>N/A</t>
        </is>
      </c>
      <c r="N67" s="4" t="inlineStr"/>
    </row>
    <row r="68">
      <c r="A68" s="5" t="inlineStr">
        <is>
          <t>TC88</t>
        </is>
      </c>
      <c r="B68" s="5" t="inlineStr">
        <is>
          <t>Session</t>
        </is>
      </c>
      <c r="C68" s="5" t="inlineStr">
        <is>
          <t>Positive</t>
        </is>
      </c>
      <c r="D68" s="4" t="inlineStr">
        <is>
          <t>Refresh keeps the user logged in</t>
        </is>
      </c>
      <c r="E68" s="4" t="inlineStr">
        <is>
          <t>Use a NEW private / incognito browser window (so the cart is empty and no one is logged in).</t>
        </is>
      </c>
      <c r="F68" s="4" t="inlineStr">
        <is>
          <t>1. Open https://www.saucedemo.com
2. Enter "standard_user" in Username and "secret_sauce" in Password
3. Click Login
4. Press F5 on Products, then on the cart page</t>
        </is>
      </c>
      <c r="G68" s="4" t="inlineStr">
        <is>
          <t>standard_user</t>
        </is>
      </c>
      <c r="H68" s="4" t="inlineStr">
        <is>
          <t>1. Login page shows the Username field, Password field and Login button.
2. Text is typed. Password shows as dots.
3. Products page opens. URL ends with /inventory.html. Title is "Products".
4. User stays logged in on the same page.</t>
        </is>
      </c>
      <c r="I68" s="5" t="inlineStr">
        <is>
          <t>P2</t>
        </is>
      </c>
      <c r="J68" s="4" t="inlineStr">
        <is>
          <t>Yes - extended regression; access check (browser side only).</t>
        </is>
      </c>
      <c r="K68" s="4" t="inlineStr">
        <is>
          <t>As expected - User stays logged in on the same page.</t>
        </is>
      </c>
      <c r="L68" s="5" t="inlineStr">
        <is>
          <t>Pass</t>
        </is>
      </c>
      <c r="M68" s="5" t="inlineStr">
        <is>
          <t>N/A</t>
        </is>
      </c>
      <c r="N68" s="4" t="inlineStr"/>
    </row>
    <row r="69">
      <c r="A69" s="5" t="inlineStr">
        <is>
          <t>TC89</t>
        </is>
      </c>
      <c r="B69" s="5" t="inlineStr">
        <is>
          <t>Session</t>
        </is>
      </c>
      <c r="C69" s="5" t="inlineStr">
        <is>
          <t>Negative</t>
        </is>
      </c>
      <c r="D69" s="4" t="inlineStr">
        <is>
          <t>Open /checkout-step-one.html without logging in</t>
        </is>
      </c>
      <c r="E69" s="4" t="inlineStr">
        <is>
          <t>Use a NEW private / incognito browser window (so the cart is empty and no one is logged in). Do NOT log in.</t>
        </is>
      </c>
      <c r="F69" s="4" t="inlineStr">
        <is>
          <t>1. Check you are not logged in (new private window)
2. Type https://www.saucedemo.com/checkout-step-one.html in the address bar and press Enter
3. Look at the page</t>
        </is>
      </c>
      <c r="G69" s="4" t="inlineStr">
        <is>
          <t>URL: https://www.saucedemo.com/checkout-step-one.html</t>
        </is>
      </c>
      <c r="H69" s="4" t="inlineStr">
        <is>
          <t>1. No Sauce Demo session is open.
2. Error shown: "Epic sadface: You can only access '/checkout-step-one.html' when you are logged in."
3. Login page is shown (Username, Password, Login). Cart icon is NOT visible.</t>
        </is>
      </c>
      <c r="I69" s="5" t="inlineStr">
        <is>
          <t>P1</t>
        </is>
      </c>
      <c r="J69" s="4" t="inlineStr">
        <is>
          <t>Yes - extended regression; access check (browser side only).</t>
        </is>
      </c>
      <c r="K69" s="4" t="inlineStr">
        <is>
          <t>As expected - the login page showed "Epic sadface: You can only access '/checkout-step-one.html' when you are logged in." and the cart icon was not visible.</t>
        </is>
      </c>
      <c r="L69" s="5" t="inlineStr">
        <is>
          <t>Pass</t>
        </is>
      </c>
      <c r="M69" s="5" t="inlineStr">
        <is>
          <t>N/A</t>
        </is>
      </c>
      <c r="N69" s="4" t="inlineStr"/>
    </row>
    <row r="70">
      <c r="A70" s="5" t="inlineStr">
        <is>
          <t>TC90</t>
        </is>
      </c>
      <c r="B70" s="5" t="inlineStr">
        <is>
          <t>Session</t>
        </is>
      </c>
      <c r="C70" s="5" t="inlineStr">
        <is>
          <t>Negative</t>
        </is>
      </c>
      <c r="D70" s="4" t="inlineStr">
        <is>
          <t>Open /checkout-step-two.html without logging in</t>
        </is>
      </c>
      <c r="E70" s="4" t="inlineStr">
        <is>
          <t>Use a NEW private / incognito browser window (so the cart is empty and no one is logged in). Do NOT log in.</t>
        </is>
      </c>
      <c r="F70" s="4" t="inlineStr">
        <is>
          <t>1. Check you are not logged in (new private window)
2. Type https://www.saucedemo.com/checkout-step-two.html in the address bar and press Enter
3. Look at the page</t>
        </is>
      </c>
      <c r="G70" s="4" t="inlineStr">
        <is>
          <t>URL: https://www.saucedemo.com/checkout-step-two.html</t>
        </is>
      </c>
      <c r="H70" s="4" t="inlineStr">
        <is>
          <t>1. No Sauce Demo session is open.
2. Error shown: "Epic sadface: You can only access '/checkout-step-two.html' when you are logged in."
3. Login page is shown (Username, Password, Login). Cart icon is NOT visible.</t>
        </is>
      </c>
      <c r="I70" s="5" t="inlineStr">
        <is>
          <t>P1</t>
        </is>
      </c>
      <c r="J70" s="4" t="inlineStr">
        <is>
          <t>Yes - extended regression; access check (browser side only).</t>
        </is>
      </c>
      <c r="K70" s="4" t="inlineStr">
        <is>
          <t>As expected - the login page showed "Epic sadface: You can only access '/checkout-step-two.html' when you are logged in." and the cart icon was not visible.</t>
        </is>
      </c>
      <c r="L70" s="5" t="inlineStr">
        <is>
          <t>Pass</t>
        </is>
      </c>
      <c r="M70" s="5" t="inlineStr">
        <is>
          <t>N/A</t>
        </is>
      </c>
      <c r="N70" s="4" t="inlineStr"/>
    </row>
    <row r="71">
      <c r="A71" s="5" t="inlineStr">
        <is>
          <t>TC91</t>
        </is>
      </c>
      <c r="B71" s="5" t="inlineStr">
        <is>
          <t>Session</t>
        </is>
      </c>
      <c r="C71" s="5" t="inlineStr">
        <is>
          <t>Negative</t>
        </is>
      </c>
      <c r="D71" s="4" t="inlineStr">
        <is>
          <t>Open /checkout-complete.html without logging in</t>
        </is>
      </c>
      <c r="E71" s="4" t="inlineStr">
        <is>
          <t>Use a NEW private / incognito browser window (so the cart is empty and no one is logged in). Do NOT log in.</t>
        </is>
      </c>
      <c r="F71" s="4" t="inlineStr">
        <is>
          <t>1. Check you are not logged in (new private window)
2. Type https://www.saucedemo.com/checkout-complete.html in the address bar and press Enter
3. Look at the page</t>
        </is>
      </c>
      <c r="G71" s="4" t="inlineStr">
        <is>
          <t>URL: https://www.saucedemo.com/checkout-complete.html</t>
        </is>
      </c>
      <c r="H71" s="4" t="inlineStr">
        <is>
          <t>1. No Sauce Demo session is open.
2. Error shown: "Epic sadface: You can only access '/checkout-complete.html' when you are logged in."
3. Login page is shown (Username, Password, Login). Cart icon is NOT visible.</t>
        </is>
      </c>
      <c r="I71" s="5" t="inlineStr">
        <is>
          <t>P1</t>
        </is>
      </c>
      <c r="J71" s="4" t="inlineStr">
        <is>
          <t>Yes - extended regression; access check (browser side only).</t>
        </is>
      </c>
      <c r="K71" s="4" t="inlineStr">
        <is>
          <t>As expected - the login page showed "Epic sadface: You can only access '/checkout-complete.html' when you are logged in." and the cart icon was not visible.</t>
        </is>
      </c>
      <c r="L71" s="5" t="inlineStr">
        <is>
          <t>Pass</t>
        </is>
      </c>
      <c r="M71" s="5" t="inlineStr">
        <is>
          <t>N/A</t>
        </is>
      </c>
      <c r="N71" s="4" t="inlineStr"/>
    </row>
    <row r="72">
      <c r="A72" s="5" t="inlineStr">
        <is>
          <t>TC92</t>
        </is>
      </c>
      <c r="B72" s="5" t="inlineStr">
        <is>
          <t>Session</t>
        </is>
      </c>
      <c r="C72" s="5" t="inlineStr">
        <is>
          <t>Negative</t>
        </is>
      </c>
      <c r="D72" s="4" t="inlineStr">
        <is>
          <t>Open /inventory-item.html without logging in</t>
        </is>
      </c>
      <c r="E72" s="4" t="inlineStr">
        <is>
          <t>Use a NEW private / incognito browser window (so the cart is empty and no one is logged in). Do NOT log in.</t>
        </is>
      </c>
      <c r="F72" s="4" t="inlineStr">
        <is>
          <t>1. Check you are not logged in (new private window)
2. Type https://www.saucedemo.com/inventory-item.html?id=4 in the address bar and press Enter
3. Look at the page</t>
        </is>
      </c>
      <c r="G72" s="4" t="inlineStr">
        <is>
          <t>URL: https://www.saucedemo.com/inventory-item.html?id=4</t>
        </is>
      </c>
      <c r="H72" s="4" t="inlineStr">
        <is>
          <t>1. No Sauce Demo session is open.
2. Error shown: "Epic sadface: You can only access '/inventory-item.html' when you are logged in."
3. Login page is shown (Username, Password, Login). Cart icon is NOT visible.</t>
        </is>
      </c>
      <c r="I72" s="5" t="inlineStr">
        <is>
          <t>P1</t>
        </is>
      </c>
      <c r="J72" s="4" t="inlineStr">
        <is>
          <t>Yes - extended regression; access check (browser side only).</t>
        </is>
      </c>
      <c r="K72" s="4" t="inlineStr">
        <is>
          <t>As expected - the login page showed "Epic sadface: You can only access '/inventory-item.html' when you are logged in." and the cart icon was not visible.</t>
        </is>
      </c>
      <c r="L72" s="5" t="inlineStr">
        <is>
          <t>Pass</t>
        </is>
      </c>
      <c r="M72" s="5" t="inlineStr">
        <is>
          <t>N/A</t>
        </is>
      </c>
      <c r="N72" s="4" t="inlineStr"/>
    </row>
    <row r="73">
      <c r="A73" s="5" t="inlineStr">
        <is>
          <t>TC93</t>
        </is>
      </c>
      <c r="B73" s="5" t="inlineStr">
        <is>
          <t>Session</t>
        </is>
      </c>
      <c r="C73" s="5" t="inlineStr">
        <is>
          <t>Negative</t>
        </is>
      </c>
      <c r="D73" s="4" t="inlineStr">
        <is>
          <t>Browser Back after logout</t>
        </is>
      </c>
      <c r="E73" s="4" t="inlineStr">
        <is>
          <t>Use a NEW private / incognito browser window (so the cart is empty and no one is logged in).</t>
        </is>
      </c>
      <c r="F73" s="4" t="inlineStr">
        <is>
          <t>1. Open https://www.saucedemo.com
2. Enter "standard_user" in Username and "secret_sauce" in Password
3. Click Login
4. Menu &gt; Logout
5. Press the browser Back button</t>
        </is>
      </c>
      <c r="G73" s="4" t="inlineStr">
        <is>
          <t>standard_user</t>
        </is>
      </c>
      <c r="H73" s="4" t="inlineStr">
        <is>
          <t>1. Login page shows the Username field, Password field and Login button.
2. Text is typed. Password shows as dots.
3. Products page opens. URL ends with /inventory.html. Title is "Products".
4. Login page is shown.
5. Products page is NOT usable. Login page / access message is shown.</t>
        </is>
      </c>
      <c r="I73" s="5" t="inlineStr">
        <is>
          <t>P1</t>
        </is>
      </c>
      <c r="J73" s="4" t="inlineStr">
        <is>
          <t>Yes - extended regression; access check (browser side only).</t>
        </is>
      </c>
      <c r="K73" s="4" t="inlineStr">
        <is>
          <t>As expected - after Back, the login page showed "Epic sadface: You can only access '/inventory.html' when you are logged in." and no products.</t>
        </is>
      </c>
      <c r="L73" s="5" t="inlineStr">
        <is>
          <t>Pass</t>
        </is>
      </c>
      <c r="M73" s="5" t="inlineStr">
        <is>
          <t>N/A</t>
        </is>
      </c>
      <c r="N73" s="4" t="inlineStr"/>
    </row>
    <row r="74">
      <c r="A74" s="5" t="inlineStr">
        <is>
          <t>TC94</t>
        </is>
      </c>
      <c r="B74" s="5" t="inlineStr">
        <is>
          <t>Session</t>
        </is>
      </c>
      <c r="C74" s="5" t="inlineStr">
        <is>
          <t>Negative</t>
        </is>
      </c>
      <c r="D74" s="4" t="inlineStr">
        <is>
          <t>Session timeout</t>
        </is>
      </c>
      <c r="E74" s="4" t="inlineStr">
        <is>
          <t>Use a NEW private / incognito browser window (so the cart is empty and no one is logged in).</t>
        </is>
      </c>
      <c r="F74" s="4" t="inlineStr">
        <is>
          <t>1. Open https://www.saucedemo.com
2. Enter "standard_user" in Username and "secret_sauce" in Password
3. Click Login
4. Do nothing for 11 minutes, then click any link</t>
        </is>
      </c>
      <c r="G74" s="4" t="inlineStr">
        <is>
          <t>standard_user, wait 11 minutes</t>
        </is>
      </c>
      <c r="H74" s="4" t="inlineStr">
        <is>
          <t>1. Login page shows the Username field, Password field and Login button.
2. Text is typed. Password shows as dots.
3. Products page opens. URL ends with /inventory.html. Title is "Products".
4. User is sent to the login page with an access message.</t>
        </is>
      </c>
      <c r="I74" s="5" t="inlineStr">
        <is>
          <t>P2</t>
        </is>
      </c>
      <c r="J74" s="4" t="inlineStr">
        <is>
          <t>Yes - extended regression; access check (browser side only).</t>
        </is>
      </c>
      <c r="K74" s="4" t="inlineStr">
        <is>
          <t>As expected - after the login cookie was removed (the same as the session ending), clicking the cart showed the login page with "Epic sadface: You can only access '/cart.html' when you are logged in." The real 11-minute wait was not done.</t>
        </is>
      </c>
      <c r="L74" s="5" t="inlineStr">
        <is>
          <t>Pass</t>
        </is>
      </c>
      <c r="M74" s="5" t="inlineStr">
        <is>
          <t>N/A</t>
        </is>
      </c>
      <c r="N74" s="4" t="inlineStr">
        <is>
          <t>ASSUMPTION: session ends after about 10 minutes (the login cookie expires in ~10 min; confirm with product owner).</t>
        </is>
      </c>
    </row>
    <row r="75">
      <c r="A75" s="5" t="inlineStr">
        <is>
          <t>TC95</t>
        </is>
      </c>
      <c r="B75" s="5" t="inlineStr">
        <is>
          <t>Personas</t>
        </is>
      </c>
      <c r="C75" s="5" t="inlineStr">
        <is>
          <t>Positive</t>
        </is>
      </c>
      <c r="D75" s="4" t="inlineStr">
        <is>
          <t>error_user can complete an order</t>
        </is>
      </c>
      <c r="E75" s="4" t="inlineStr">
        <is>
          <t>Use a NEW private / incognito browser window (so the cart is empty and no one is logged in).</t>
        </is>
      </c>
      <c r="F75" s="4" t="inlineStr">
        <is>
          <t>1. Open https://www.saucedemo.com
2. Enter "error_user" in Username and "secret_sauce" in Password
3. Click Login
4. Add Onesie, then Remove it, then add it again
5. Open the cart, Checkout, enter Test / Customer / 12345, Continue, Finish</t>
        </is>
      </c>
      <c r="G75" s="4" t="inlineStr">
        <is>
          <t>error_user, Sauce Labs Onesie</t>
        </is>
      </c>
      <c r="H75" s="4" t="inlineStr">
        <is>
          <t>1. Login page shows the Username field, Password field and Login button.
2. Text is typed. Password shows as dots.
3. Products page opens. URL ends with /inventory.html. Title is "Products".
4. Buttons and cart number change correctly.
5. "Thank you for your order!" is shown. No errors on the way.</t>
        </is>
      </c>
      <c r="I75" s="5" t="inlineStr">
        <is>
          <t>P2</t>
        </is>
      </c>
      <c r="J75" s="4" t="inlineStr">
        <is>
          <t>Yes - compares a demo user with standard_user.</t>
        </is>
      </c>
      <c r="K75" s="4" t="inlineStr">
        <is>
          <t>Clicking "Remove" did nothing: the button stayed "Remove" and the cart number stayed 1.</t>
        </is>
      </c>
      <c r="L75" s="5" t="inlineStr">
        <is>
          <t>Fail</t>
        </is>
      </c>
      <c r="M75" s="5" t="inlineStr">
        <is>
          <t>BUG-08</t>
        </is>
      </c>
      <c r="N75" s="4" t="inlineStr">
        <is>
          <t>Compare with standard_user. Log every difference as a bug with a screenshot.</t>
        </is>
      </c>
    </row>
    <row r="76">
      <c r="A76" s="5" t="inlineStr">
        <is>
          <t>TC96</t>
        </is>
      </c>
      <c r="B76" s="5" t="inlineStr">
        <is>
          <t>Personas</t>
        </is>
      </c>
      <c r="C76" s="5" t="inlineStr">
        <is>
          <t>Positive</t>
        </is>
      </c>
      <c r="D76" s="4" t="inlineStr">
        <is>
          <t>problem_user checkout form keeps typed values</t>
        </is>
      </c>
      <c r="E76" s="4" t="inlineStr">
        <is>
          <t>Use a NEW private / incognito browser window (so the cart is empty and no one is logged in).</t>
        </is>
      </c>
      <c r="F76" s="4" t="inlineStr">
        <is>
          <t>1. Open https://www.saucedemo.com
2. Enter "problem_user" in Username and "secret_sauce" in Password
3. Click Login
4. Add Onesie, open the cart, click Checkout
5. Type Test, Customer and 12345
6. Click Continue</t>
        </is>
      </c>
      <c r="G76" s="4" t="inlineStr">
        <is>
          <t>problem_user, Test / Customer / 12345</t>
        </is>
      </c>
      <c r="H76" s="4" t="inlineStr">
        <is>
          <t>1. Login page shows the Username field, Password field and Login button.
2. Text is typed. Password shows as dots.
3. Products page opens. URL ends with /inventory.html. Title is "Products".
4. "Checkout: Your Information" opens.
5. Each field shows exactly what was typed.
6. "Checkout: Overview" opens.</t>
        </is>
      </c>
      <c r="I76" s="5" t="inlineStr">
        <is>
          <t>P2</t>
        </is>
      </c>
      <c r="J76" s="4" t="inlineStr">
        <is>
          <t>Yes - compares a demo user with standard_user.</t>
        </is>
      </c>
      <c r="K76" s="4" t="inlineStr">
        <is>
          <t>The First Name field did not keep "Test" - typing the last name changed the First Name field.</t>
        </is>
      </c>
      <c r="L76" s="5" t="inlineStr">
        <is>
          <t>Fail</t>
        </is>
      </c>
      <c r="M76" s="5" t="inlineStr">
        <is>
          <t>BUG-09</t>
        </is>
      </c>
      <c r="N76" s="4" t="inlineStr">
        <is>
          <t>Compare with standard_user. Log every difference as a bug.</t>
        </is>
      </c>
    </row>
    <row r="77">
      <c r="A77" s="5" t="inlineStr">
        <is>
          <t>TC97</t>
        </is>
      </c>
      <c r="B77" s="5" t="inlineStr">
        <is>
          <t>Personas</t>
        </is>
      </c>
      <c r="C77" s="5" t="inlineStr">
        <is>
          <t>Positive</t>
        </is>
      </c>
      <c r="D77" s="4" t="inlineStr">
        <is>
          <t>problem_user product images are correct</t>
        </is>
      </c>
      <c r="E77" s="4" t="inlineStr">
        <is>
          <t>Use a NEW private / incognito browser window (so the cart is empty and no one is logged in).</t>
        </is>
      </c>
      <c r="F77" s="4" t="inlineStr">
        <is>
          <t>1. Open https://www.saucedemo.com
2. Enter "problem_user" in Username and "secret_sauce" in Password
3. Click Login
4. Look at every product image</t>
        </is>
      </c>
      <c r="G77" s="4" t="inlineStr">
        <is>
          <t>problem_user</t>
        </is>
      </c>
      <c r="H77" s="4" t="inlineStr">
        <is>
          <t>1. Login page shows the Username field, Password field and Login button.
2. Text is typed. Password shows as dots.
3. Products page opens. URL ends with /inventory.html. Title is "Products".
4. Each product shows its own correct image (same as standard_user).</t>
        </is>
      </c>
      <c r="I77" s="5" t="inlineStr">
        <is>
          <t>P2</t>
        </is>
      </c>
      <c r="J77" s="4" t="inlineStr">
        <is>
          <t>Yes - compares a demo user with standard_user.</t>
        </is>
      </c>
      <c r="K77" s="4" t="inlineStr">
        <is>
          <t>Every product showed the same wrong picture instead of its own image.</t>
        </is>
      </c>
      <c r="L77" s="5" t="inlineStr">
        <is>
          <t>Fail</t>
        </is>
      </c>
      <c r="M77" s="5" t="inlineStr">
        <is>
          <t>BUG-10</t>
        </is>
      </c>
      <c r="N77" s="4" t="inlineStr"/>
    </row>
    <row r="78">
      <c r="A78" s="5" t="inlineStr">
        <is>
          <t>TC98</t>
        </is>
      </c>
      <c r="B78" s="5" t="inlineStr">
        <is>
          <t>Personas</t>
        </is>
      </c>
      <c r="C78" s="5" t="inlineStr">
        <is>
          <t>Positive</t>
        </is>
      </c>
      <c r="D78" s="4" t="inlineStr">
        <is>
          <t>visual_user page looks the same as standard_user</t>
        </is>
      </c>
      <c r="E78" s="4" t="inlineStr">
        <is>
          <t>Use a NEW private / incognito browser window (so the cart is empty and no one is logged in).</t>
        </is>
      </c>
      <c r="F78" s="4" t="inlineStr">
        <is>
          <t>1. Open https://www.saucedemo.com
2. Enter "visual_user" in Username and "secret_sauce" in Password
3. Click Login
4. Compare the Products page with the same page for standard_user</t>
        </is>
      </c>
      <c r="G78" s="4" t="inlineStr">
        <is>
          <t>visual_user and standard_user</t>
        </is>
      </c>
      <c r="H78" s="4" t="inlineStr">
        <is>
          <t>1. Login page shows the Username field, Password field and Login button.
2. Text is typed. Password shows as dots.
3. Products page opens. URL ends with /inventory.html. Title is "Products".
4. Same layout, images, names and prices.</t>
        </is>
      </c>
      <c r="I78" s="5" t="inlineStr">
        <is>
          <t>P3</t>
        </is>
      </c>
      <c r="J78" s="4" t="inlineStr">
        <is>
          <t>Yes - compares a demo user with standard_user.</t>
        </is>
      </c>
      <c r="K78" s="4" t="inlineStr">
        <is>
          <t>Prices were different (for example $78.23 instead of $29.99) and the cart icon was in a different place.</t>
        </is>
      </c>
      <c r="L78" s="5" t="inlineStr">
        <is>
          <t>Fail</t>
        </is>
      </c>
      <c r="M78" s="5" t="inlineStr">
        <is>
          <t>BUG-11</t>
        </is>
      </c>
      <c r="N78" s="4" t="inlineStr">
        <is>
          <t>Log every visual difference as a bug with a screenshot.</t>
        </is>
      </c>
    </row>
  </sheetData>
  <autoFilter ref="A5:N78"/>
  <dataValidations count="1">
    <dataValidation sqref="L6:L78" showDropDown="0" showInputMessage="0" showErrorMessage="0" allowBlank="0" type="list">
      <formula1>"Pass,Fail,Not Run,Blocked"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15" customWidth="1" min="3" max="3"/>
    <col width="36" customWidth="1" min="4" max="4"/>
    <col width="50" customWidth="1" min="5" max="5"/>
    <col width="38" customWidth="1" min="6" max="6"/>
    <col width="42" customWidth="1" min="7" max="7"/>
    <col width="10" customWidth="1" min="8" max="8"/>
    <col width="30" customWidth="1" min="9" max="9"/>
  </cols>
  <sheetData>
    <row r="1">
      <c r="A1" s="1" t="inlineStr">
        <is>
          <t>Bugs Found</t>
        </is>
      </c>
    </row>
    <row r="2">
      <c r="A2" s="2" t="inlineStr">
        <is>
          <t>"Open" = happens every time. "To confirm" = needs a check on screen. Where a rule is unclear, confirm it with the product owner.</t>
        </is>
      </c>
    </row>
    <row r="4" ht="32" customHeight="1">
      <c r="A4" s="3" t="inlineStr">
        <is>
          <t>Bug ID</t>
        </is>
      </c>
      <c r="B4" s="3" t="inlineStr">
        <is>
          <t>Test Case ID</t>
        </is>
      </c>
      <c r="C4" s="3" t="inlineStr">
        <is>
          <t>Module</t>
        </is>
      </c>
      <c r="D4" s="3" t="inlineStr">
        <is>
          <t>Bug Title</t>
        </is>
      </c>
      <c r="E4" s="3" t="inlineStr">
        <is>
          <t>Steps to Reproduce</t>
        </is>
      </c>
      <c r="F4" s="3" t="inlineStr">
        <is>
          <t>Expected Result</t>
        </is>
      </c>
      <c r="G4" s="3" t="inlineStr">
        <is>
          <t>Actual Result</t>
        </is>
      </c>
      <c r="H4" s="3" t="inlineStr">
        <is>
          <t>Severity</t>
        </is>
      </c>
      <c r="I4" s="3" t="inlineStr">
        <is>
          <t>Status</t>
        </is>
      </c>
    </row>
    <row r="5">
      <c r="A5" s="5" t="inlineStr">
        <is>
          <t>BUG-01</t>
        </is>
      </c>
      <c r="B5" s="5" t="inlineStr">
        <is>
          <t>TC25</t>
        </is>
      </c>
      <c r="C5" s="5" t="inlineStr">
        <is>
          <t>Sorting</t>
        </is>
      </c>
      <c r="D5" s="4" t="inlineStr">
        <is>
          <t>Sorting does not work for problem_user</t>
        </is>
      </c>
      <c r="E5" s="4" t="inlineStr">
        <is>
          <t>1. Open https://www.saucedemo.com
2. Log in as problem_user / secret_sauce
3. Select "Price (low to high)"
4. Read the prices from top to bottom</t>
        </is>
      </c>
      <c r="F5" s="4" t="inlineStr">
        <is>
          <t>Prices go from low to high: $7.99, $9.99, $15.99, $15.99, $29.99, $49.99.</t>
        </is>
      </c>
      <c r="G5" s="4" t="inlineStr">
        <is>
          <t>The order does not change: $29.99, $9.99, $15.99, $49.99, $7.99, $15.99. The dropdown goes back to "Name (A to Z)".</t>
        </is>
      </c>
      <c r="H5" s="5" t="inlineStr">
        <is>
          <t>Medium</t>
        </is>
      </c>
      <c r="I5" s="4" t="inlineStr">
        <is>
          <t>Open - happens every time</t>
        </is>
      </c>
    </row>
    <row r="6">
      <c r="A6" s="5" t="inlineStr">
        <is>
          <t>BUG-02</t>
        </is>
      </c>
      <c r="B6" s="5" t="inlineStr">
        <is>
          <t>TC70</t>
        </is>
      </c>
      <c r="C6" s="5" t="inlineStr">
        <is>
          <t>Checkout</t>
        </is>
      </c>
      <c r="D6" s="4" t="inlineStr">
        <is>
          <t>Checkout accepts names made of spaces only</t>
        </is>
      </c>
      <c r="E6" s="4" t="inlineStr">
        <is>
          <t>1. Log in as standard_user
2. Add any product and open Checkout
3. Type 3 spaces in First Name, Last Name and Zip
4. Click Continue</t>
        </is>
      </c>
      <c r="F6" s="4" t="inlineStr">
        <is>
          <t>An error is shown. User cannot continue with blank details.</t>
        </is>
      </c>
      <c r="G6" s="4" t="inlineStr">
        <is>
          <t>No error. The Overview page opens.</t>
        </is>
      </c>
      <c r="H6" s="5" t="inlineStr">
        <is>
          <t>Medium</t>
        </is>
      </c>
      <c r="I6" s="4" t="inlineStr">
        <is>
          <t>Open - happens every time (confirm the rule with the product owner)</t>
        </is>
      </c>
    </row>
    <row r="7">
      <c r="A7" s="5" t="inlineStr">
        <is>
          <t>BUG-03</t>
        </is>
      </c>
      <c r="B7" s="5" t="inlineStr">
        <is>
          <t>TC72, TC73</t>
        </is>
      </c>
      <c r="C7" s="5" t="inlineStr">
        <is>
          <t>Checkout</t>
        </is>
      </c>
      <c r="D7" s="4" t="inlineStr">
        <is>
          <t>An order can be started with an empty cart</t>
        </is>
      </c>
      <c r="E7" s="4" t="inlineStr">
        <is>
          <t>1. Log in as standard_user (cart empty)
2. Open the cart and click Checkout
3. Or type https://www.saucedemo.com/checkout-step-two.html</t>
        </is>
      </c>
      <c r="F7" s="4" t="inlineStr">
        <is>
          <t>User cannot check out or finish an order with no items.</t>
        </is>
      </c>
      <c r="G7" s="4" t="inlineStr">
        <is>
          <t>Checkout opens with an empty cart. The Overview shows Total $0.00 and a Finish button.</t>
        </is>
      </c>
      <c r="H7" s="5" t="inlineStr">
        <is>
          <t>Medium</t>
        </is>
      </c>
      <c r="I7" s="4" t="inlineStr">
        <is>
          <t>Open - happens every time (confirm the rule with the product owner)</t>
        </is>
      </c>
    </row>
    <row r="8">
      <c r="A8" s="5" t="inlineStr">
        <is>
          <t>BUG-04</t>
        </is>
      </c>
      <c r="B8" s="5" t="inlineStr">
        <is>
          <t>TC86</t>
        </is>
      </c>
      <c r="C8" s="5" t="inlineStr">
        <is>
          <t>Navigation</t>
        </is>
      </c>
      <c r="D8" s="4" t="inlineStr">
        <is>
          <t>"Reset App State" leaves a "Remove" button on the page</t>
        </is>
      </c>
      <c r="E8" s="4" t="inlineStr">
        <is>
          <t>1. Log in as standard_user
2. Add Backpack and Bike Light
3. Open the menu and click "Reset App State"
4. Look at the product buttons (do not refresh)</t>
        </is>
      </c>
      <c r="F8" s="4" t="inlineStr">
        <is>
          <t>Cart number disappears and every product shows "Add to cart".</t>
        </is>
      </c>
      <c r="G8" s="4" t="inlineStr">
        <is>
          <t>Cart number disappears, but the products still show "Remove" until the page is refreshed.</t>
        </is>
      </c>
      <c r="H8" s="5" t="inlineStr">
        <is>
          <t>Low</t>
        </is>
      </c>
      <c r="I8" s="4" t="inlineStr">
        <is>
          <t>Open - happens every time</t>
        </is>
      </c>
    </row>
    <row r="9">
      <c r="A9" s="5" t="inlineStr">
        <is>
          <t>BUG-05</t>
        </is>
      </c>
      <c r="B9" s="5" t="inlineStr">
        <is>
          <t>TC28</t>
        </is>
      </c>
      <c r="C9" s="5" t="inlineStr">
        <is>
          <t>Login</t>
        </is>
      </c>
      <c r="D9" s="4" t="inlineStr">
        <is>
          <t>Fields may stay red after closing the login error</t>
        </is>
      </c>
      <c r="E9" s="4" t="inlineStr">
        <is>
          <t>1. Open https://www.saucedemo.com
2. Click Login with both fields empty
3. Click the X on the error message</t>
        </is>
      </c>
      <c r="F9" s="4" t="inlineStr">
        <is>
          <t>The error and the red marks on the fields both go away.</t>
        </is>
      </c>
      <c r="G9" s="4" t="inlineStr">
        <is>
          <t>The error goes away, but the fields keep their error style (check if they still look red).</t>
        </is>
      </c>
      <c r="H9" s="5" t="inlineStr">
        <is>
          <t>Low</t>
        </is>
      </c>
      <c r="I9" s="4" t="inlineStr">
        <is>
          <t>To confirm - check on screen</t>
        </is>
      </c>
    </row>
    <row r="10">
      <c r="A10" s="5" t="inlineStr">
        <is>
          <t>BUG-06</t>
        </is>
      </c>
      <c r="B10" s="5" t="inlineStr">
        <is>
          <t>TC60</t>
        </is>
      </c>
      <c r="C10" s="5" t="inlineStr">
        <is>
          <t>Cart</t>
        </is>
      </c>
      <c r="D10" s="4" t="inlineStr">
        <is>
          <t>One user can see another user's cart</t>
        </is>
      </c>
      <c r="E10" s="4" t="inlineStr">
        <is>
          <t>1. Log in as standard_user
2. Add Sauce Labs Backpack and Sauce Labs Bike Light
3. Open the menu and click Logout
4. Log in as problem_user
5. Look at the cart icon and open the cart</t>
        </is>
      </c>
      <c r="F10" s="4" t="inlineStr">
        <is>
          <t>The cart is empty for problem_user.</t>
        </is>
      </c>
      <c r="G10" s="4" t="inlineStr">
        <is>
          <t>The cart number shows 2 and the cart has standard_user's 2 products.</t>
        </is>
      </c>
      <c r="H10" s="5" t="inlineStr">
        <is>
          <t>High</t>
        </is>
      </c>
      <c r="I10" s="4" t="inlineStr">
        <is>
          <t>Open - happens every time (confirm the rule with the product owner)</t>
        </is>
      </c>
    </row>
    <row r="11">
      <c r="A11" s="5" t="inlineStr">
        <is>
          <t>BUG-07</t>
        </is>
      </c>
      <c r="B11" s="5" t="inlineStr">
        <is>
          <t>TC82</t>
        </is>
      </c>
      <c r="C11" s="5" t="inlineStr">
        <is>
          <t>Order Completion</t>
        </is>
      </c>
      <c r="D11" s="4" t="inlineStr">
        <is>
          <t>The same cart can be ordered twice from two tabs</t>
        </is>
      </c>
      <c r="E11" s="4" t="inlineStr">
        <is>
          <t>1. Log in as standard_user, add Sauce Labs Onesie
2. Go to the Overview page
3. Copy the page address into a second tab
4. Click Finish in tab 1, then click Finish in tab 2</t>
        </is>
      </c>
      <c r="F11" s="4" t="inlineStr">
        <is>
          <t>Only one order is placed. Tab 2 does not show a second "Thank you for your order!".</t>
        </is>
      </c>
      <c r="G11" s="4" t="inlineStr">
        <is>
          <t>Tab 2 also shows "Thank you for your order!" for the same cart.</t>
        </is>
      </c>
      <c r="H11" s="5" t="inlineStr">
        <is>
          <t>Medium</t>
        </is>
      </c>
      <c r="I11" s="4" t="inlineStr">
        <is>
          <t>Open - happens every time</t>
        </is>
      </c>
    </row>
    <row r="12">
      <c r="A12" s="5" t="inlineStr">
        <is>
          <t>BUG-08</t>
        </is>
      </c>
      <c r="B12" s="5" t="inlineStr">
        <is>
          <t>TC95</t>
        </is>
      </c>
      <c r="C12" s="5" t="inlineStr">
        <is>
          <t>Personas</t>
        </is>
      </c>
      <c r="D12" s="4" t="inlineStr">
        <is>
          <t>error_user cannot remove a product</t>
        </is>
      </c>
      <c r="E12" s="4" t="inlineStr">
        <is>
          <t>1. Log in as error_user
2. Click "Add to cart" on Sauce Labs Onesie
3. Click "Remove" on Sauce Labs Onesie</t>
        </is>
      </c>
      <c r="F12" s="4" t="inlineStr">
        <is>
          <t>The button changes back to "Add to cart" and the cart number disappears.</t>
        </is>
      </c>
      <c r="G12" s="4" t="inlineStr">
        <is>
          <t>Nothing happens: the button stays "Remove" and the cart number stays 1.</t>
        </is>
      </c>
      <c r="H12" s="5" t="inlineStr">
        <is>
          <t>Medium</t>
        </is>
      </c>
      <c r="I12" s="4" t="inlineStr">
        <is>
          <t>Open - happens every time</t>
        </is>
      </c>
    </row>
    <row r="13">
      <c r="A13" s="5" t="inlineStr">
        <is>
          <t>BUG-09</t>
        </is>
      </c>
      <c r="B13" s="5" t="inlineStr">
        <is>
          <t>TC96</t>
        </is>
      </c>
      <c r="C13" s="5" t="inlineStr">
        <is>
          <t>Personas</t>
        </is>
      </c>
      <c r="D13" s="4" t="inlineStr">
        <is>
          <t>problem_user checkout form changes the typed names</t>
        </is>
      </c>
      <c r="E13" s="4" t="inlineStr">
        <is>
          <t>1. Log in as problem_user
2. Add Sauce Labs Onesie, open the cart, click Checkout
3. Type Test in First Name, Customer in Last Name, 12345 in Zip</t>
        </is>
      </c>
      <c r="F13" s="4" t="inlineStr">
        <is>
          <t>Each field keeps exactly what was typed.</t>
        </is>
      </c>
      <c r="G13" s="4" t="inlineStr">
        <is>
          <t>First Name shows "Customer" and Last Name stays empty - typing the last name goes into the First Name field.</t>
        </is>
      </c>
      <c r="H13" s="5" t="inlineStr">
        <is>
          <t>Medium</t>
        </is>
      </c>
      <c r="I13" s="4" t="inlineStr">
        <is>
          <t>Open - happens every time</t>
        </is>
      </c>
    </row>
    <row r="14">
      <c r="A14" s="5" t="inlineStr">
        <is>
          <t>BUG-10</t>
        </is>
      </c>
      <c r="B14" s="5" t="inlineStr">
        <is>
          <t>TC97</t>
        </is>
      </c>
      <c r="C14" s="5" t="inlineStr">
        <is>
          <t>Personas</t>
        </is>
      </c>
      <c r="D14" s="4" t="inlineStr">
        <is>
          <t>problem_user sees the wrong product images</t>
        </is>
      </c>
      <c r="E14" s="4" t="inlineStr">
        <is>
          <t>1. Log in as problem_user
2. Look at the product images</t>
        </is>
      </c>
      <c r="F14" s="4" t="inlineStr">
        <is>
          <t>Each product shows its own picture, the same as for standard_user.</t>
        </is>
      </c>
      <c r="G14" s="4" t="inlineStr">
        <is>
          <t>Every product shows the same wrong picture.</t>
        </is>
      </c>
      <c r="H14" s="5" t="inlineStr">
        <is>
          <t>Low</t>
        </is>
      </c>
      <c r="I14" s="4" t="inlineStr">
        <is>
          <t>Open - happens every time</t>
        </is>
      </c>
    </row>
    <row r="15">
      <c r="A15" s="5" t="inlineStr">
        <is>
          <t>BUG-11</t>
        </is>
      </c>
      <c r="B15" s="5" t="inlineStr">
        <is>
          <t>TC98</t>
        </is>
      </c>
      <c r="C15" s="5" t="inlineStr">
        <is>
          <t>Personas</t>
        </is>
      </c>
      <c r="D15" s="4" t="inlineStr">
        <is>
          <t>visual_user sees wrong prices and a moved cart icon</t>
        </is>
      </c>
      <c r="E15" s="4" t="inlineStr">
        <is>
          <t>1. Log in as standard_user and note the prices and the cart icon position
2. Log out and log in as visual_user
3. Compare the Products page</t>
        </is>
      </c>
      <c r="F15" s="4" t="inlineStr">
        <is>
          <t>Same products, prices, images and layout as standard_user.</t>
        </is>
      </c>
      <c r="G15" s="4" t="inlineStr">
        <is>
          <t>Prices are different (for example $78.23 instead of $29.99) and the cart icon is in a different place.</t>
        </is>
      </c>
      <c r="H15" s="5" t="inlineStr">
        <is>
          <t>High</t>
        </is>
      </c>
      <c r="I15" s="4" t="inlineStr">
        <is>
          <t>Open - happens every time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2026-10-27T19:28:36Z</dcterms:created>
  <dcterms:modified xmlns:dcterms="http://purl.org/dc/terms/" xmlns:xsi="http://www.w3.org/2001/XMLSchema-instance" xsi:type="dcterms:W3CDTF">2026-10-28T06:35:44Z</dcterms:modified>
</cp:coreProperties>
</file>