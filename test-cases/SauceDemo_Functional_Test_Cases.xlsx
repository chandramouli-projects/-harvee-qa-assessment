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Scenarios" sheetId="2" state="visible" r:id="rId2"/>
    <sheet xmlns:r="http://schemas.openxmlformats.org/officeDocument/2006/relationships" name="Test Cases" sheetId="3" state="visible" r:id="rId3"/>
    <sheet xmlns:r="http://schemas.openxmlformats.org/officeDocument/2006/relationships" name="Price Check" sheetId="4" state="visible" r:id="rId4"/>
  </sheets>
  <definedNames>
    <definedName name="_xlnm._FilterDatabase" localSheetId="2" hidden="1">'Test Cases'!$A$4:$K$26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6"/>
    </font>
    <font>
      <name val="Calibri"/>
      <i val="1"/>
      <color rgb="00595959"/>
      <sz val="10"/>
    </font>
    <font>
      <name val="Calibri"/>
      <b val="1"/>
      <color rgb="001F1F1F"/>
      <sz val="11"/>
    </font>
    <font>
      <name val="Calibri"/>
      <sz val="11"/>
    </font>
    <font>
      <name val="Calibri"/>
      <b val="1"/>
      <sz val="11"/>
    </font>
    <font>
      <name val="Calibri"/>
      <i val="1"/>
      <color rgb="00C00000"/>
      <sz val="10"/>
    </font>
  </fonts>
  <fills count="11">
    <fill>
      <patternFill/>
    </fill>
    <fill>
      <patternFill patternType="gray125"/>
    </fill>
    <fill>
      <patternFill patternType="solid">
        <fgColor rgb="00BDD7EE"/>
      </patternFill>
    </fill>
    <fill>
      <patternFill patternType="solid">
        <fgColor rgb="00E2EFDA"/>
      </patternFill>
    </fill>
    <fill>
      <patternFill patternType="solid">
        <fgColor rgb="00FCE4D6"/>
      </patternFill>
    </fill>
    <fill>
      <patternFill patternType="solid">
        <fgColor rgb="00DDEBF7"/>
      </patternFill>
    </fill>
    <fill>
      <patternFill patternType="solid">
        <fgColor rgb="00FFF2CC"/>
      </patternFill>
    </fill>
    <fill>
      <patternFill patternType="solid">
        <fgColor rgb="00EDE2F6"/>
      </patternFill>
    </fill>
    <fill>
      <patternFill patternType="solid">
        <fgColor rgb="00E2F0F3"/>
      </patternFill>
    </fill>
    <fill>
      <patternFill patternType="solid">
        <fgColor rgb="00C6EFCE"/>
      </patternFill>
    </fill>
    <fill>
      <patternFill patternType="solid">
        <fgColor rgb="00F8CBAD"/>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5" fillId="0" borderId="1" applyAlignment="1" pivotButton="0" quotePrefix="0" xfId="0">
      <alignment vertical="top" wrapText="1"/>
    </xf>
    <xf numFmtId="0" fontId="4" fillId="0" borderId="1" applyAlignment="1" pivotButton="0" quotePrefix="0" xfId="0">
      <alignment horizontal="center" vertical="top" wrapText="1"/>
    </xf>
    <xf numFmtId="0" fontId="4" fillId="9" borderId="1" applyAlignment="1" pivotButton="0" quotePrefix="0" xfId="0">
      <alignment horizontal="center" vertical="top" wrapText="1"/>
    </xf>
    <xf numFmtId="0" fontId="4" fillId="10" borderId="1" applyAlignment="1" pivotButton="0" quotePrefix="0" xfId="0">
      <alignment horizontal="center" vertical="top" wrapText="1"/>
    </xf>
    <xf numFmtId="9" fontId="4" fillId="0" borderId="1" applyAlignment="1" pivotButton="0" quotePrefix="0" xfId="0">
      <alignment horizontal="center" vertical="top" wrapText="1"/>
    </xf>
    <xf numFmtId="0" fontId="4" fillId="3" borderId="1" applyAlignment="1" pivotButton="0" quotePrefix="0" xfId="0">
      <alignment vertical="top" wrapText="1"/>
    </xf>
    <xf numFmtId="0" fontId="4" fillId="3" borderId="1" applyAlignment="1" pivotButton="0" quotePrefix="0" xfId="0">
      <alignment horizontal="center" vertical="top" wrapText="1"/>
    </xf>
    <xf numFmtId="0" fontId="4" fillId="4" borderId="1" applyAlignment="1" pivotButton="0" quotePrefix="0" xfId="0">
      <alignment vertical="top" wrapText="1"/>
    </xf>
    <xf numFmtId="0" fontId="4" fillId="4" borderId="1" applyAlignment="1" pivotButton="0" quotePrefix="0" xfId="0">
      <alignment horizontal="center" vertical="top" wrapText="1"/>
    </xf>
    <xf numFmtId="0" fontId="4" fillId="5" borderId="1" applyAlignment="1" pivotButton="0" quotePrefix="0" xfId="0">
      <alignment vertical="top" wrapText="1"/>
    </xf>
    <xf numFmtId="0" fontId="4" fillId="5" borderId="1" applyAlignment="1" pivotButton="0" quotePrefix="0" xfId="0">
      <alignment horizontal="center" vertical="top" wrapText="1"/>
    </xf>
    <xf numFmtId="0" fontId="4" fillId="6" borderId="1" applyAlignment="1" pivotButton="0" quotePrefix="0" xfId="0">
      <alignment vertical="top" wrapText="1"/>
    </xf>
    <xf numFmtId="0" fontId="4" fillId="6" borderId="1" applyAlignment="1" pivotButton="0" quotePrefix="0" xfId="0">
      <alignment horizontal="center" vertical="top" wrapText="1"/>
    </xf>
    <xf numFmtId="0" fontId="4" fillId="7" borderId="1" applyAlignment="1" pivotButton="0" quotePrefix="0" xfId="0">
      <alignment vertical="top" wrapText="1"/>
    </xf>
    <xf numFmtId="0" fontId="4" fillId="7" borderId="1" applyAlignment="1" pivotButton="0" quotePrefix="0" xfId="0">
      <alignment horizontal="center" vertical="top" wrapText="1"/>
    </xf>
    <xf numFmtId="0" fontId="4" fillId="8" borderId="1" applyAlignment="1" pivotButton="0" quotePrefix="0" xfId="0">
      <alignment vertical="top" wrapText="1"/>
    </xf>
    <xf numFmtId="0" fontId="4" fillId="8" borderId="1" applyAlignment="1" pivotButton="0" quotePrefix="0" xfId="0">
      <alignment horizontal="center" vertical="top" wrapText="1"/>
    </xf>
    <xf numFmtId="0" fontId="4" fillId="0" borderId="0" pivotButton="0" quotePrefix="0" xfId="0"/>
    <xf numFmtId="0" fontId="4" fillId="0" borderId="1" applyAlignment="1" pivotButton="0" quotePrefix="0" xfId="0">
      <alignment vertical="top" wrapText="1"/>
    </xf>
    <xf numFmtId="0" fontId="5" fillId="0" borderId="1" applyAlignment="1" pivotButton="0" quotePrefix="0" xfId="0">
      <alignment horizontal="center" vertical="top" wrapText="1"/>
    </xf>
    <xf numFmtId="2" fontId="4" fillId="0" borderId="1" applyAlignment="1" pivotButton="0" quotePrefix="0" xfId="0">
      <alignment vertical="top" wrapText="1"/>
    </xf>
    <xf numFmtId="9" fontId="4" fillId="6" borderId="1" applyAlignment="1" pivotButton="0" quotePrefix="0" xfId="0">
      <alignment vertical="top" wrapText="1"/>
    </xf>
    <xf numFmtId="0" fontId="6" fillId="0" borderId="0" pivotButton="0" quotePrefix="0" xfId="0"/>
    <xf numFmtId="2" fontId="5" fillId="9" borderId="1" applyAlignment="1" pivotButton="0" quotePrefix="0" xfId="0">
      <alignment vertical="top" wrapText="1"/>
    </xf>
    <xf numFmtId="0" fontId="5" fillId="0" borderId="0" pivotButton="0" quotePrefix="0" xfId="0"/>
  </cellXfs>
  <cellStyles count="1">
    <cellStyle name="Normal" xfId="0" builtinId="0" hidden="0"/>
  </cellStyles>
  <dxfs count="2">
    <dxf>
      <fill>
        <patternFill patternType="solid">
          <fgColor rgb="00C6EFCE"/>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QA</author>
  </authors>
  <commentList>
    <comment ref="I4" authorId="0" shapeId="0">
      <text>
        <t>Choose Pass, Fail or Not Run. The Summary sheet updates by itself.</t>
      </text>
    </comment>
  </commentList>
</comments>
</file>

<file path=xl/comments/comment2.xml><?xml version="1.0" encoding="utf-8"?>
<comments xmlns="http://schemas.openxmlformats.org/spreadsheetml/2006/main">
  <authors>
    <author>QA</author>
  </authors>
  <commentList>
    <comment ref="B5" authorId="0" shapeId="0">
      <text>
        <t>Prices copied from the Products page on 27-Oct-2026.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12" customWidth="1" min="2" max="2"/>
    <col width="10" customWidth="1" min="3" max="3"/>
    <col width="10" customWidth="1" min="4" max="4"/>
  </cols>
  <sheetData>
    <row r="1">
      <c r="A1" s="1" t="inlineStr">
        <is>
          <t>Test Summary</t>
        </is>
      </c>
    </row>
    <row r="2">
      <c r="A2" s="2" t="inlineStr">
        <is>
          <t>Sauce Demo functional testing - 27-Oct-2026</t>
        </is>
      </c>
    </row>
    <row r="4" ht="30" customHeight="1">
      <c r="A4" s="3" t="inlineStr"/>
      <c r="B4" s="3" t="inlineStr">
        <is>
          <t>Count</t>
        </is>
      </c>
    </row>
    <row r="5">
      <c r="A5" s="4" t="inlineStr">
        <is>
          <t>Total test cases</t>
        </is>
      </c>
      <c r="B5" s="5">
        <f>COUNTA('Test Cases'!$B$5:$B$26)</f>
        <v/>
      </c>
    </row>
    <row r="6">
      <c r="A6" s="4" t="inlineStr">
        <is>
          <t>Pass</t>
        </is>
      </c>
      <c r="B6" s="6">
        <f>COUNTIF('Test Cases'!$I$5:$I$26,"Pass")</f>
        <v/>
      </c>
    </row>
    <row r="7">
      <c r="A7" s="4" t="inlineStr">
        <is>
          <t>Fail</t>
        </is>
      </c>
      <c r="B7" s="7">
        <f>COUNTIF('Test Cases'!$I$5:$I$26,"Fail")</f>
        <v/>
      </c>
    </row>
    <row r="8">
      <c r="A8" s="4" t="inlineStr">
        <is>
          <t>Not Run</t>
        </is>
      </c>
      <c r="B8" s="5">
        <f>COUNTIF('Test Cases'!$I$5:$I$26,"Not Run")</f>
        <v/>
      </c>
    </row>
    <row r="9">
      <c r="A9" s="4" t="inlineStr">
        <is>
          <t>Pass %</t>
        </is>
      </c>
      <c r="B9" s="8">
        <f>IF(B5=0,0,B6/B5)</f>
        <v/>
      </c>
    </row>
    <row r="11" ht="30" customHeight="1">
      <c r="A11" s="3" t="inlineStr">
        <is>
          <t>Scenario</t>
        </is>
      </c>
      <c r="B11" s="3" t="inlineStr">
        <is>
          <t>Test Cases</t>
        </is>
      </c>
      <c r="C11" s="3" t="inlineStr">
        <is>
          <t>Pass</t>
        </is>
      </c>
      <c r="D11" s="3" t="inlineStr">
        <is>
          <t>Fail</t>
        </is>
      </c>
    </row>
    <row r="12">
      <c r="A12" s="9" t="inlineStr">
        <is>
          <t>TS01 - Login</t>
        </is>
      </c>
      <c r="B12" s="10">
        <f>COUNTIF('Test Cases'!$A$5:$A$26,"TS01")</f>
        <v/>
      </c>
      <c r="C12" s="10">
        <f>COUNTIFS('Test Cases'!$A$5:$A$26,"TS01",'Test Cases'!$I$5:$I$26,"Pass")</f>
        <v/>
      </c>
      <c r="D12" s="10">
        <f>COUNTIFS('Test Cases'!$A$5:$A$26,"TS01",'Test Cases'!$I$5:$I$26,"Fail")</f>
        <v/>
      </c>
    </row>
    <row r="13">
      <c r="A13" s="11" t="inlineStr">
        <is>
          <t>TS02 - Product Sorting</t>
        </is>
      </c>
      <c r="B13" s="12">
        <f>COUNTIF('Test Cases'!$A$5:$A$26,"TS02")</f>
        <v/>
      </c>
      <c r="C13" s="12">
        <f>COUNTIFS('Test Cases'!$A$5:$A$26,"TS02",'Test Cases'!$I$5:$I$26,"Pass")</f>
        <v/>
      </c>
      <c r="D13" s="12">
        <f>COUNTIFS('Test Cases'!$A$5:$A$26,"TS02",'Test Cases'!$I$5:$I$26,"Fail")</f>
        <v/>
      </c>
    </row>
    <row r="14">
      <c r="A14" s="13" t="inlineStr">
        <is>
          <t>TS03 - Cart</t>
        </is>
      </c>
      <c r="B14" s="14">
        <f>COUNTIF('Test Cases'!$A$5:$A$26,"TS03")</f>
        <v/>
      </c>
      <c r="C14" s="14">
        <f>COUNTIFS('Test Cases'!$A$5:$A$26,"TS03",'Test Cases'!$I$5:$I$26,"Pass")</f>
        <v/>
      </c>
      <c r="D14" s="14">
        <f>COUNTIFS('Test Cases'!$A$5:$A$26,"TS03",'Test Cases'!$I$5:$I$26,"Fail")</f>
        <v/>
      </c>
    </row>
    <row r="15">
      <c r="A15" s="15" t="inlineStr">
        <is>
          <t>TS04 - Checkout</t>
        </is>
      </c>
      <c r="B15" s="16">
        <f>COUNTIF('Test Cases'!$A$5:$A$26,"TS04")</f>
        <v/>
      </c>
      <c r="C15" s="16">
        <f>COUNTIFS('Test Cases'!$A$5:$A$26,"TS04",'Test Cases'!$I$5:$I$26,"Pass")</f>
        <v/>
      </c>
      <c r="D15" s="16">
        <f>COUNTIFS('Test Cases'!$A$5:$A$26,"TS04",'Test Cases'!$I$5:$I$26,"Fail")</f>
        <v/>
      </c>
    </row>
    <row r="16">
      <c r="A16" s="17" t="inlineStr">
        <is>
          <t>TS05 - Order Total</t>
        </is>
      </c>
      <c r="B16" s="18">
        <f>COUNTIF('Test Cases'!$A$5:$A$26,"TS05")</f>
        <v/>
      </c>
      <c r="C16" s="18">
        <f>COUNTIFS('Test Cases'!$A$5:$A$26,"TS05",'Test Cases'!$I$5:$I$26,"Pass")</f>
        <v/>
      </c>
      <c r="D16" s="18">
        <f>COUNTIFS('Test Cases'!$A$5:$A$26,"TS05",'Test Cases'!$I$5:$I$26,"Fail")</f>
        <v/>
      </c>
    </row>
    <row r="17">
      <c r="A17" s="19" t="inlineStr">
        <is>
          <t>TS06 - Session</t>
        </is>
      </c>
      <c r="B17" s="20">
        <f>COUNTIF('Test Cases'!$A$5:$A$26,"TS06")</f>
        <v/>
      </c>
      <c r="C17" s="20">
        <f>COUNTIFS('Test Cases'!$A$5:$A$26,"TS06",'Test Cases'!$I$5:$I$26,"Pass")</f>
        <v/>
      </c>
      <c r="D17" s="20">
        <f>COUNTIFS('Test Cases'!$A$5:$A$26,"TS06",'Test Cases'!$I$5:$I$26,"Fail")</f>
        <v/>
      </c>
    </row>
    <row r="20">
      <c r="A20" s="21" t="inlineStr">
        <is>
          <t>Bug found: DEF-01 - Sorting does not work for problem_user (see Test Cases, row TC06 problem_user).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2" customWidth="1" min="1" max="1"/>
    <col width="18" customWidth="1" min="2" max="2"/>
    <col width="60" customWidth="1" min="3" max="3"/>
    <col width="16" customWidth="1" min="4" max="4"/>
    <col width="28" customWidth="1" min="5" max="5"/>
  </cols>
  <sheetData>
    <row r="1">
      <c r="A1" s="1" t="inlineStr">
        <is>
          <t>Sauce Demo - Test Scenarios</t>
        </is>
      </c>
    </row>
    <row r="3" ht="30" customHeight="1">
      <c r="A3" s="3" t="inlineStr">
        <is>
          <t>Scenario ID</t>
        </is>
      </c>
      <c r="B3" s="3" t="inlineStr">
        <is>
          <t>Module</t>
        </is>
      </c>
      <c r="C3" s="3" t="inlineStr">
        <is>
          <t>Test Scenario</t>
        </is>
      </c>
      <c r="D3" s="3" t="inlineStr">
        <is>
          <t>No. of Test Cases</t>
        </is>
      </c>
      <c r="E3" s="3" t="inlineStr">
        <is>
          <t>Feature File</t>
        </is>
      </c>
    </row>
    <row r="4">
      <c r="A4" s="10" t="inlineStr">
        <is>
          <t>TS01</t>
        </is>
      </c>
      <c r="B4" s="9" t="inlineStr">
        <is>
          <t>Login</t>
        </is>
      </c>
      <c r="C4" s="9" t="inlineStr">
        <is>
          <t>Check login with valid, wrong, locked and empty details</t>
        </is>
      </c>
      <c r="D4" s="10">
        <f>COUNTIF('Test Cases'!$A$5:$A$26,A4)</f>
        <v/>
      </c>
      <c r="E4" s="9" t="inlineStr">
        <is>
          <t>Authentication.feature</t>
        </is>
      </c>
    </row>
    <row r="5">
      <c r="A5" s="12" t="inlineStr">
        <is>
          <t>TS02</t>
        </is>
      </c>
      <c r="B5" s="11" t="inlineStr">
        <is>
          <t>Product Sorting</t>
        </is>
      </c>
      <c r="C5" s="11" t="inlineStr">
        <is>
          <t>Check products are sorted correctly by name and by price</t>
        </is>
      </c>
      <c r="D5" s="12">
        <f>COUNTIF('Test Cases'!$A$5:$A$26,A5)</f>
        <v/>
      </c>
      <c r="E5" s="11" t="inlineStr">
        <is>
          <t>ProductSorting.feature</t>
        </is>
      </c>
    </row>
    <row r="6">
      <c r="A6" s="14" t="inlineStr">
        <is>
          <t>TS03</t>
        </is>
      </c>
      <c r="B6" s="13" t="inlineStr">
        <is>
          <t>Cart</t>
        </is>
      </c>
      <c r="C6" s="13" t="inlineStr">
        <is>
          <t>Check adding and removing products in the cart</t>
        </is>
      </c>
      <c r="D6" s="14">
        <f>COUNTIF('Test Cases'!$A$5:$A$26,A6)</f>
        <v/>
      </c>
      <c r="E6" s="13" t="inlineStr">
        <is>
          <t>Cart.feature</t>
        </is>
      </c>
    </row>
    <row r="7">
      <c r="A7" s="16" t="inlineStr">
        <is>
          <t>TS04</t>
        </is>
      </c>
      <c r="B7" s="15" t="inlineStr">
        <is>
          <t>Checkout</t>
        </is>
      </c>
      <c r="C7" s="15" t="inlineStr">
        <is>
          <t>Check the checkout form, placing an order and cancelling</t>
        </is>
      </c>
      <c r="D7" s="16">
        <f>COUNTIF('Test Cases'!$A$5:$A$26,A7)</f>
        <v/>
      </c>
      <c r="E7" s="15" t="inlineStr">
        <is>
          <t>Checkout.feature</t>
        </is>
      </c>
    </row>
    <row r="8">
      <c r="A8" s="18" t="inlineStr">
        <is>
          <t>TS05</t>
        </is>
      </c>
      <c r="B8" s="17" t="inlineStr">
        <is>
          <t>Order Total</t>
        </is>
      </c>
      <c r="C8" s="17" t="inlineStr">
        <is>
          <t>Check the order total is correct for different numbers of products</t>
        </is>
      </c>
      <c r="D8" s="18">
        <f>COUNTIF('Test Cases'!$A$5:$A$26,A8)</f>
        <v/>
      </c>
      <c r="E8" s="17" t="inlineStr">
        <is>
          <t>OrderTotals.feature</t>
        </is>
      </c>
    </row>
    <row r="9">
      <c r="A9" s="20" t="inlineStr">
        <is>
          <t>TS06</t>
        </is>
      </c>
      <c r="B9" s="19" t="inlineStr">
        <is>
          <t>Session</t>
        </is>
      </c>
      <c r="C9" s="19" t="inlineStr">
        <is>
          <t>Check shop pages cannot be opened without logging in</t>
        </is>
      </c>
      <c r="D9" s="20">
        <f>COUNTIF('Test Cases'!$A$5:$A$26,A9)</f>
        <v/>
      </c>
      <c r="E9" s="19" t="inlineStr">
        <is>
          <t>SessionSecurity.feature</t>
        </is>
      </c>
    </row>
    <row r="10">
      <c r="A10" s="22" t="inlineStr"/>
      <c r="B10" s="22" t="inlineStr"/>
      <c r="C10" s="4" t="inlineStr">
        <is>
          <t>Total</t>
        </is>
      </c>
      <c r="D10" s="23">
        <f>SUM(D4:D9)</f>
        <v/>
      </c>
      <c r="E10" s="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30" customWidth="1" min="3" max="3"/>
    <col width="22" customWidth="1" min="4" max="4"/>
    <col width="46" customWidth="1" min="5" max="5"/>
    <col width="30" customWidth="1" min="6" max="6"/>
    <col width="42" customWidth="1" min="7" max="7"/>
    <col width="36" customWidth="1" min="8" max="8"/>
    <col width="9" customWidth="1" min="9" max="9"/>
    <col width="8" customWidth="1" min="10" max="10"/>
    <col width="48" customWidth="1" min="11" max="11"/>
  </cols>
  <sheetData>
    <row r="1">
      <c r="A1" s="1" t="inlineStr">
        <is>
          <t>Sauce Demo - Functional Test Cases</t>
        </is>
      </c>
    </row>
    <row r="2">
      <c r="A2" s="2" t="inlineStr">
        <is>
          <t>Tested on 27-Oct-2026 in Chrome, Firefox and Safari (WebKit). Each row = one automation scenario with the same ID.</t>
        </is>
      </c>
    </row>
    <row r="4" ht="30" customHeight="1">
      <c r="A4" s="3" t="inlineStr">
        <is>
          <t>Scenario ID</t>
        </is>
      </c>
      <c r="B4" s="3" t="inlineStr">
        <is>
          <t>Test Case ID</t>
        </is>
      </c>
      <c r="C4" s="3" t="inlineStr">
        <is>
          <t>Test Case</t>
        </is>
      </c>
      <c r="D4" s="3" t="inlineStr">
        <is>
          <t>Pre-condition</t>
        </is>
      </c>
      <c r="E4" s="3" t="inlineStr">
        <is>
          <t>Test Steps</t>
        </is>
      </c>
      <c r="F4" s="3" t="inlineStr">
        <is>
          <t>Test Data</t>
        </is>
      </c>
      <c r="G4" s="3" t="inlineStr">
        <is>
          <t>Expected Result</t>
        </is>
      </c>
      <c r="H4" s="3" t="inlineStr">
        <is>
          <t>Actual Result</t>
        </is>
      </c>
      <c r="I4" s="3" t="inlineStr">
        <is>
          <t>Status</t>
        </is>
      </c>
      <c r="J4" s="3" t="inlineStr">
        <is>
          <t>Bug ID</t>
        </is>
      </c>
      <c r="K4" s="3" t="inlineStr">
        <is>
          <t>Automation Scenario (feature file)</t>
        </is>
      </c>
    </row>
    <row r="5">
      <c r="A5" s="10" t="inlineStr">
        <is>
          <t>TS01</t>
        </is>
      </c>
      <c r="B5" s="10" t="inlineStr">
        <is>
          <t>TC01</t>
        </is>
      </c>
      <c r="C5" s="22" t="inlineStr">
        <is>
          <t>Login with a valid user</t>
        </is>
      </c>
      <c r="D5" s="22" t="inlineStr">
        <is>
          <t>Login page is open</t>
        </is>
      </c>
      <c r="E5" s="22" t="inlineStr">
        <is>
          <t>1. Open www.saucedemo.com
2. Enter username: standard_user
3. Enter password: secret_sauce
4. Click Login</t>
        </is>
      </c>
      <c r="F5" s="22" t="inlineStr">
        <is>
          <t>standard_user / secret_sauce</t>
        </is>
      </c>
      <c r="G5" s="22" t="inlineStr">
        <is>
          <t>Products page opens. Products are shown. No error.</t>
        </is>
      </c>
      <c r="H5" s="22" t="inlineStr">
        <is>
          <t>Products page opened with 6 products. No error.</t>
        </is>
      </c>
      <c r="I5" s="5" t="inlineStr">
        <is>
          <t>Pass</t>
        </is>
      </c>
      <c r="J5" s="5" t="inlineStr"/>
      <c r="K5" s="22" t="inlineStr">
        <is>
          <t>TC01 Login-HappyPath - Standard user logs in and reaches the Products page</t>
        </is>
      </c>
    </row>
    <row r="6">
      <c r="A6" s="10" t="inlineStr">
        <is>
          <t>TS01</t>
        </is>
      </c>
      <c r="B6" s="10" t="inlineStr">
        <is>
          <t>TC02</t>
        </is>
      </c>
      <c r="C6" s="22" t="inlineStr">
        <is>
          <t>Login with a locked user</t>
        </is>
      </c>
      <c r="D6" s="22" t="inlineStr">
        <is>
          <t>Login page is open</t>
        </is>
      </c>
      <c r="E6" s="22" t="inlineStr">
        <is>
          <t>1. Enter username: locked_out_user
2. Enter password: secret_sauce
3. Click Login</t>
        </is>
      </c>
      <c r="F6" s="22" t="inlineStr">
        <is>
          <t>locked_out_user / secret_sauce</t>
        </is>
      </c>
      <c r="G6" s="22" t="inlineStr">
        <is>
          <t>Error: "Epic sadface: Sorry, this user has been locked out."
User stays on the login page.</t>
        </is>
      </c>
      <c r="H6" s="22" t="inlineStr">
        <is>
          <t>Correct error shown. User stayed on the login page.</t>
        </is>
      </c>
      <c r="I6" s="5" t="inlineStr">
        <is>
          <t>Pass</t>
        </is>
      </c>
      <c r="J6" s="5" t="inlineStr"/>
      <c r="K6" s="22" t="inlineStr">
        <is>
          <t>TC02 Login-LockedOut - Locked-out user sees the lock-out error and cannot log in</t>
        </is>
      </c>
    </row>
    <row r="7">
      <c r="A7" s="10" t="inlineStr">
        <is>
          <t>TS01</t>
        </is>
      </c>
      <c r="B7" s="10" t="inlineStr">
        <is>
          <t>TC03</t>
        </is>
      </c>
      <c r="C7" s="22" t="inlineStr">
        <is>
          <t>Login with wrong details</t>
        </is>
      </c>
      <c r="D7" s="22" t="inlineStr">
        <is>
          <t>Login page is open</t>
        </is>
      </c>
      <c r="E7" s="22" t="inlineStr">
        <is>
          <t>1. Enter the username
2. Enter the password
3. Click Login
4. Repeat for each data row</t>
        </is>
      </c>
      <c r="F7" s="22" t="inlineStr">
        <is>
          <t>Row 1: standard_user / not_the_demo_password
Row 2: unknown_user / secret_sauce</t>
        </is>
      </c>
      <c r="G7" s="22" t="inlineStr">
        <is>
          <t>Error: "Epic sadface: Username and password do not match any user in this service"
User stays on the login page.</t>
        </is>
      </c>
      <c r="H7" s="22" t="inlineStr">
        <is>
          <t>Same error shown for both rows.</t>
        </is>
      </c>
      <c r="I7" s="5" t="inlineStr">
        <is>
          <t>Pass</t>
        </is>
      </c>
      <c r="J7" s="5" t="inlineStr"/>
      <c r="K7" s="22" t="inlineStr">
        <is>
          <t>TC03 Login-InvalidCredentials - Login is rejected for &lt;case&gt;
(rows: wrong password, unknown username)</t>
        </is>
      </c>
    </row>
    <row r="8">
      <c r="A8" s="10" t="inlineStr">
        <is>
          <t>TS01</t>
        </is>
      </c>
      <c r="B8" s="10" t="inlineStr">
        <is>
          <t>TC04</t>
        </is>
      </c>
      <c r="C8" s="22" t="inlineStr">
        <is>
          <t>Login with empty fields</t>
        </is>
      </c>
      <c r="D8" s="22" t="inlineStr">
        <is>
          <t>Login page is open</t>
        </is>
      </c>
      <c r="E8" s="22" t="inlineStr">
        <is>
          <t>1. Leave the field(s) empty as per the data row
2. Click Login
3. Repeat for each data row</t>
        </is>
      </c>
      <c r="F8" s="22" t="inlineStr">
        <is>
          <t>Row 1: both empty
Row 2: username empty
Row 3: password empty</t>
        </is>
      </c>
      <c r="G8" s="22" t="inlineStr">
        <is>
          <t>Row 1 and 2: "Epic sadface: Username is required"
Row 3: "Epic sadface: Password is required"</t>
        </is>
      </c>
      <c r="H8" s="22" t="inlineStr">
        <is>
          <t>Correct error shown for all 3 rows.</t>
        </is>
      </c>
      <c r="I8" s="5" t="inlineStr">
        <is>
          <t>Pass</t>
        </is>
      </c>
      <c r="J8" s="5" t="inlineStr"/>
      <c r="K8" s="22" t="inlineStr">
        <is>
          <t>TC04 Login-RequiredFields - Required-field validation when &lt;case&gt;
(rows: both fields empty, username empty, password empty)</t>
        </is>
      </c>
    </row>
    <row r="9">
      <c r="A9" s="10" t="inlineStr">
        <is>
          <t>TS01</t>
        </is>
      </c>
      <c r="B9" s="10" t="inlineStr">
        <is>
          <t>TC25</t>
        </is>
      </c>
      <c r="C9" s="22" t="inlineStr">
        <is>
          <t>Login with the slow user</t>
        </is>
      </c>
      <c r="D9" s="22" t="inlineStr">
        <is>
          <t>Login page is open</t>
        </is>
      </c>
      <c r="E9" s="22" t="inlineStr">
        <is>
          <t>1. Enter username: performance_glitch_user
2. Enter password: secret_sauce
3. Click Login</t>
        </is>
      </c>
      <c r="F9" s="22" t="inlineStr">
        <is>
          <t>performance_glitch_user / secret_sauce</t>
        </is>
      </c>
      <c r="G9" s="22" t="inlineStr">
        <is>
          <t>Products page opens (it may take a few seconds).</t>
        </is>
      </c>
      <c r="H9" s="22" t="inlineStr">
        <is>
          <t>Products page opened.</t>
        </is>
      </c>
      <c r="I9" s="5" t="inlineStr">
        <is>
          <t>Pass</t>
        </is>
      </c>
      <c r="J9" s="5" t="inlineStr"/>
      <c r="K9" s="22" t="inlineStr">
        <is>
          <t>TC25 Login-PerformanceGlitch - performance_glitch_user can log in and reach the Products page</t>
        </is>
      </c>
    </row>
    <row r="10">
      <c r="A10" s="12" t="inlineStr">
        <is>
          <t>TS02</t>
        </is>
      </c>
      <c r="B10" s="12" t="inlineStr">
        <is>
          <t>TC05</t>
        </is>
      </c>
      <c r="C10" s="22" t="inlineStr">
        <is>
          <t>Sort by Name (A to Z)</t>
        </is>
      </c>
      <c r="D10" s="22" t="inlineStr">
        <is>
          <t>User is logged in</t>
        </is>
      </c>
      <c r="E10" s="22" t="inlineStr">
        <is>
          <t>1. Open www.saucedemo.com
2. Enter username: standard_user
3. Enter password: secret_sauce
4. Click Login
5. Select "Name (Z to A)"
6. Select "Name (A to Z)"
7. Check every product name from top to bottom</t>
        </is>
      </c>
      <c r="F10" s="22" t="inlineStr">
        <is>
          <t>6 products</t>
        </is>
      </c>
      <c r="G10" s="22" t="inlineStr">
        <is>
          <t>All names are in A to Z order.</t>
        </is>
      </c>
      <c r="H10" s="22" t="inlineStr">
        <is>
          <t>All names were in A to Z order.</t>
        </is>
      </c>
      <c r="I10" s="5" t="inlineStr">
        <is>
          <t>Pass</t>
        </is>
      </c>
      <c r="J10" s="5" t="inlineStr"/>
      <c r="K10" s="22" t="inlineStr">
        <is>
          <t>TC05 Sorting - "Name (A to Z)" orders the entire product list</t>
        </is>
      </c>
    </row>
    <row r="11">
      <c r="A11" s="12" t="inlineStr">
        <is>
          <t>TS02</t>
        </is>
      </c>
      <c r="B11" s="12" t="inlineStr">
        <is>
          <t>TC06</t>
        </is>
      </c>
      <c r="C11" s="22" t="inlineStr">
        <is>
          <t>Sort by Price (low to high)</t>
        </is>
      </c>
      <c r="D11" s="22" t="inlineStr">
        <is>
          <t>User is logged in</t>
        </is>
      </c>
      <c r="E11" s="22" t="inlineStr">
        <is>
          <t>1. Open www.saucedemo.com
2. Enter username: standard_user
3. Enter password: secret_sauce
4. Click Login
5. Select "Price (high to low)"
6. Select "Price (low to high)"
7. Check every price from top to bottom</t>
        </is>
      </c>
      <c r="F11" s="22" t="inlineStr">
        <is>
          <t>6 products</t>
        </is>
      </c>
      <c r="G11" s="22" t="inlineStr">
        <is>
          <t>Prices go from low to high:
$7.99, $9.99, $15.99, $15.99, $29.99, $49.99</t>
        </is>
      </c>
      <c r="H11" s="22" t="inlineStr">
        <is>
          <t>Prices were: $7.99, $9.99, $15.99, $15.99, $29.99, $49.99</t>
        </is>
      </c>
      <c r="I11" s="5" t="inlineStr">
        <is>
          <t>Pass</t>
        </is>
      </c>
      <c r="J11" s="5" t="inlineStr"/>
      <c r="K11" s="22" t="inlineStr">
        <is>
          <t>TC06 Sorting - "Price (low to high)" orders the entire product list</t>
        </is>
      </c>
    </row>
    <row r="12">
      <c r="A12" s="12" t="inlineStr">
        <is>
          <t>TS02</t>
        </is>
      </c>
      <c r="B12" s="12" t="inlineStr">
        <is>
          <t>TC07</t>
        </is>
      </c>
      <c r="C12" s="22" t="inlineStr">
        <is>
          <t>Sort by Price (high to low)</t>
        </is>
      </c>
      <c r="D12" s="22" t="inlineStr">
        <is>
          <t>User is logged in</t>
        </is>
      </c>
      <c r="E12" s="22" t="inlineStr">
        <is>
          <t>1. Open www.saucedemo.com
2. Enter username: standard_user
3. Enter password: secret_sauce
4. Click Login
5. Select "Price (low to high)"
6. Select "Price (high to low)"
7. Check every price from top to bottom</t>
        </is>
      </c>
      <c r="F12" s="22" t="inlineStr">
        <is>
          <t>6 products</t>
        </is>
      </c>
      <c r="G12" s="22" t="inlineStr">
        <is>
          <t>Prices go from high to low:
$49.99, $29.99, $15.99, $15.99, $9.99, $7.99</t>
        </is>
      </c>
      <c r="H12" s="22" t="inlineStr">
        <is>
          <t>Prices were: $49.99, $29.99, $15.99, $15.99, $9.99, $7.99</t>
        </is>
      </c>
      <c r="I12" s="5" t="inlineStr">
        <is>
          <t>Pass</t>
        </is>
      </c>
      <c r="J12" s="5" t="inlineStr"/>
      <c r="K12" s="22" t="inlineStr">
        <is>
          <t>TC07 Sorting - "Price (high to low)" orders the entire product list</t>
        </is>
      </c>
    </row>
    <row r="13">
      <c r="A13" s="12" t="inlineStr">
        <is>
          <t>TS02</t>
        </is>
      </c>
      <c r="B13" s="12" t="inlineStr">
        <is>
          <t>TC08</t>
        </is>
      </c>
      <c r="C13" s="22" t="inlineStr">
        <is>
          <t>Sort by Name (Z to A)</t>
        </is>
      </c>
      <c r="D13" s="22" t="inlineStr">
        <is>
          <t>User is logged in</t>
        </is>
      </c>
      <c r="E13" s="22" t="inlineStr">
        <is>
          <t>1. Open www.saucedemo.com
2. Enter username: standard_user
3. Enter password: secret_sauce
4. Click Login
5. Select "Name (Z to A)"
6. Check every product name from top to bottom</t>
        </is>
      </c>
      <c r="F13" s="22" t="inlineStr">
        <is>
          <t>6 products</t>
        </is>
      </c>
      <c r="G13" s="22" t="inlineStr">
        <is>
          <t>All names are in Z to A order.</t>
        </is>
      </c>
      <c r="H13" s="22" t="inlineStr">
        <is>
          <t>All names were in Z to A order.</t>
        </is>
      </c>
      <c r="I13" s="5" t="inlineStr">
        <is>
          <t>Pass</t>
        </is>
      </c>
      <c r="J13" s="5" t="inlineStr"/>
      <c r="K13" s="22" t="inlineStr">
        <is>
          <t>TC08 Sorting - "Name (Z to A)" orders the entire product list</t>
        </is>
      </c>
    </row>
    <row r="14">
      <c r="A14" s="12" t="inlineStr">
        <is>
          <t>TS02</t>
        </is>
      </c>
      <c r="B14" s="12" t="inlineStr">
        <is>
          <t>TC06</t>
        </is>
      </c>
      <c r="C14" s="22" t="inlineStr">
        <is>
          <t>Sort by Price (low to high) as problem_user</t>
        </is>
      </c>
      <c r="D14" s="22" t="inlineStr">
        <is>
          <t>Login page is open</t>
        </is>
      </c>
      <c r="E14" s="22" t="inlineStr">
        <is>
          <t>1. Log in as problem_user / secret_sauce
2. Select "Price (low to high)"
3. Check every price from top to bottom</t>
        </is>
      </c>
      <c r="F14" s="22" t="inlineStr">
        <is>
          <t>problem_user / secret_sauce</t>
        </is>
      </c>
      <c r="G14" s="22" t="inlineStr">
        <is>
          <t>Prices go from low to high.</t>
        </is>
      </c>
      <c r="H14" s="22" t="inlineStr">
        <is>
          <t>Order did not change:
$29.99, $9.99, $15.99, $49.99, $7.99, $15.99</t>
        </is>
      </c>
      <c r="I14" s="5" t="inlineStr">
        <is>
          <t>Fail</t>
        </is>
      </c>
      <c r="J14" s="5" t="inlineStr">
        <is>
          <t>DEF-01</t>
        </is>
      </c>
      <c r="K14" s="22" t="inlineStr">
        <is>
          <t>TC06 Sorting-ProblemUser - "Price (low to high)" orders the entire product list for problem_user</t>
        </is>
      </c>
    </row>
    <row r="15">
      <c r="A15" s="14" t="inlineStr">
        <is>
          <t>TS03</t>
        </is>
      </c>
      <c r="B15" s="14" t="inlineStr">
        <is>
          <t>TC09</t>
        </is>
      </c>
      <c r="C15" s="22" t="inlineStr">
        <is>
          <t>Add two products and remove one from the Products page</t>
        </is>
      </c>
      <c r="D15" s="22" t="inlineStr">
        <is>
          <t>User is logged in, cart is empty</t>
        </is>
      </c>
      <c r="E15" s="22" t="inlineStr">
        <is>
          <t>1. Open www.saucedemo.com
2. Enter username: standard_user
3. Enter password: secret_sauce
4. Click Login
5. Click "Add to cart" on Sauce Labs Backpack
6. Click "Add to cart" on Sauce Labs Bike Light
7. Check the cart icon number
8. Click "Remove" on Sauce Labs Backpack
9. Check the cart icon number
10. Open the cart</t>
        </is>
      </c>
      <c r="F15" s="22" t="inlineStr">
        <is>
          <t>Sauce Labs Backpack, Sauce Labs Bike Light</t>
        </is>
      </c>
      <c r="G15" s="22" t="inlineStr">
        <is>
          <t>Cart number shows 2, then 1.
Cart has only Sauce Labs Bike Light ($9.99).</t>
        </is>
      </c>
      <c r="H15" s="22" t="inlineStr">
        <is>
          <t>Cart number showed 2, then 1. Cart had only Sauce Labs Bike Light ($9.99).</t>
        </is>
      </c>
      <c r="I15" s="5" t="inlineStr">
        <is>
          <t>Pass</t>
        </is>
      </c>
      <c r="J15" s="5" t="inlineStr"/>
      <c r="K15" s="22" t="inlineStr">
        <is>
          <t>TC09 Cart-Badge - Badge tracks adding two products and removing one from the Products page</t>
        </is>
      </c>
    </row>
    <row r="16">
      <c r="A16" s="14" t="inlineStr">
        <is>
          <t>TS03</t>
        </is>
      </c>
      <c r="B16" s="14" t="inlineStr">
        <is>
          <t>TC10</t>
        </is>
      </c>
      <c r="C16" s="22" t="inlineStr">
        <is>
          <t>Remove products on the Cart page</t>
        </is>
      </c>
      <c r="D16" s="22" t="inlineStr">
        <is>
          <t>User is logged in, cart is empty</t>
        </is>
      </c>
      <c r="E16" s="22" t="inlineStr">
        <is>
          <t>1. Open www.saucedemo.com
2. Enter username: standard_user
3. Enter password: secret_sauce
4. Click Login
5. Add Sauce Labs Bolt T-Shirt and Sauce Labs Onesie
6. Open the cart
7. Click "Remove" on Bolt T-Shirt
8. Click "Remove" on Onesie</t>
        </is>
      </c>
      <c r="F16" s="22" t="inlineStr">
        <is>
          <t>Sauce Labs Bolt T-Shirt, Sauce Labs Onesie</t>
        </is>
      </c>
      <c r="G16" s="22" t="inlineStr">
        <is>
          <t>After step 7: only Onesie is left, cart number 1.
After step 8: cart is empty, no cart number.</t>
        </is>
      </c>
      <c r="H16" s="22" t="inlineStr">
        <is>
          <t>Worked as expected.</t>
        </is>
      </c>
      <c r="I16" s="5" t="inlineStr">
        <is>
          <t>Pass</t>
        </is>
      </c>
      <c r="J16" s="5" t="inlineStr"/>
      <c r="K16" s="22" t="inlineStr">
        <is>
          <t>TC10 Cart-Remove - Removing products on the Cart page updates contents and badge</t>
        </is>
      </c>
    </row>
    <row r="17">
      <c r="A17" s="14" t="inlineStr">
        <is>
          <t>TS03</t>
        </is>
      </c>
      <c r="B17" s="14" t="inlineStr">
        <is>
          <t>TC11</t>
        </is>
      </c>
      <c r="C17" s="22" t="inlineStr">
        <is>
          <t>Empty cart</t>
        </is>
      </c>
      <c r="D17" s="22" t="inlineStr">
        <is>
          <t>User has just logged in</t>
        </is>
      </c>
      <c r="E17" s="22" t="inlineStr">
        <is>
          <t>1. Open www.saucedemo.com
2. Enter username: standard_user
3. Enter password: secret_sauce
4. Click Login
5. Check the cart icon
6. Open the cart
7. Click "Continue Shopping"</t>
        </is>
      </c>
      <c r="F17" s="22" t="inlineStr">
        <is>
          <t>-</t>
        </is>
      </c>
      <c r="G17" s="22" t="inlineStr">
        <is>
          <t>No cart number. Cart page is empty. Continue Shopping goes back to Products.</t>
        </is>
      </c>
      <c r="H17" s="22" t="inlineStr">
        <is>
          <t>Worked as expected.</t>
        </is>
      </c>
      <c r="I17" s="5" t="inlineStr">
        <is>
          <t>Pass</t>
        </is>
      </c>
      <c r="J17" s="5" t="inlineStr"/>
      <c r="K17" s="22" t="inlineStr">
        <is>
          <t>TC11 Cart-Empty - A new session starts with an empty cart and Continue Shopping returns to Products</t>
        </is>
      </c>
    </row>
    <row r="18">
      <c r="A18" s="16" t="inlineStr">
        <is>
          <t>TS04</t>
        </is>
      </c>
      <c r="B18" s="16" t="inlineStr">
        <is>
          <t>TC12</t>
        </is>
      </c>
      <c r="C18" s="22" t="inlineStr">
        <is>
          <t>Checkout without first name</t>
        </is>
      </c>
      <c r="D18" s="22" t="inlineStr">
        <is>
          <t>User is logged in, 1 product in cart</t>
        </is>
      </c>
      <c r="E18" s="22" t="inlineStr">
        <is>
          <t>1. Open www.saucedemo.com
2. Enter username: standard_user
3. Enter password: secret_sauce
4. Click Login
5. Add Sauce Labs Onesie
6. Open the cart, click Checkout
7. Leave First Name empty
8. Enter Last Name and Zip
9. Click Continue</t>
        </is>
      </c>
      <c r="F18" s="22" t="inlineStr">
        <is>
          <t>First Name: (empty)
Last Name: Customer
Zip: 12345</t>
        </is>
      </c>
      <c r="G18" s="22" t="inlineStr">
        <is>
          <t>Error: "Error: First Name is required"
User stays on the same page.</t>
        </is>
      </c>
      <c r="H18" s="22" t="inlineStr">
        <is>
          <t>Correct error shown.</t>
        </is>
      </c>
      <c r="I18" s="5" t="inlineStr">
        <is>
          <t>Pass</t>
        </is>
      </c>
      <c r="J18" s="5" t="inlineStr"/>
      <c r="K18" s="22" t="inlineStr">
        <is>
          <t>TC12 Checkout-Validation - Checkout is blocked with the first name error when first name is missing</t>
        </is>
      </c>
    </row>
    <row r="19">
      <c r="A19" s="16" t="inlineStr">
        <is>
          <t>TS04</t>
        </is>
      </c>
      <c r="B19" s="16" t="inlineStr">
        <is>
          <t>TC13</t>
        </is>
      </c>
      <c r="C19" s="22" t="inlineStr">
        <is>
          <t>Checkout without last name</t>
        </is>
      </c>
      <c r="D19" s="22" t="inlineStr">
        <is>
          <t>User is logged in, 1 product in cart</t>
        </is>
      </c>
      <c r="E19" s="22" t="inlineStr">
        <is>
          <t>1. Open www.saucedemo.com
2. Enter username: standard_user
3. Enter password: secret_sauce
4. Click Login
5. Add Sauce Labs Onesie
6. Open the cart, click Checkout
7. Enter First Name
8. Leave Last Name empty, enter Zip
9. Click Continue</t>
        </is>
      </c>
      <c r="F19" s="22" t="inlineStr">
        <is>
          <t>First Name: Test
Last Name: (empty)
Zip: 12345</t>
        </is>
      </c>
      <c r="G19" s="22" t="inlineStr">
        <is>
          <t>Error: "Error: Last Name is required"
User stays on the same page.</t>
        </is>
      </c>
      <c r="H19" s="22" t="inlineStr">
        <is>
          <t>Correct error shown.</t>
        </is>
      </c>
      <c r="I19" s="5" t="inlineStr">
        <is>
          <t>Pass</t>
        </is>
      </c>
      <c r="J19" s="5" t="inlineStr"/>
      <c r="K19" s="22" t="inlineStr">
        <is>
          <t>TC13 Checkout-Validation - Checkout is blocked with the last name error when last name is missing</t>
        </is>
      </c>
    </row>
    <row r="20">
      <c r="A20" s="16" t="inlineStr">
        <is>
          <t>TS04</t>
        </is>
      </c>
      <c r="B20" s="16" t="inlineStr">
        <is>
          <t>TC14</t>
        </is>
      </c>
      <c r="C20" s="22" t="inlineStr">
        <is>
          <t>Checkout without zip code</t>
        </is>
      </c>
      <c r="D20" s="22" t="inlineStr">
        <is>
          <t>User is logged in, 1 product in cart</t>
        </is>
      </c>
      <c r="E20" s="22" t="inlineStr">
        <is>
          <t>1. Open www.saucedemo.com
2. Enter username: standard_user
3. Enter password: secret_sauce
4. Click Login
5. Add Sauce Labs Onesie
6. Open the cart, click Checkout
7. Enter First Name and Last Name
8. Leave Zip empty
9. Click Continue</t>
        </is>
      </c>
      <c r="F20" s="22" t="inlineStr">
        <is>
          <t>First Name: Test
Last Name: Customer
Zip: (empty)</t>
        </is>
      </c>
      <c r="G20" s="22" t="inlineStr">
        <is>
          <t>Error: "Error: Postal Code is required"
User stays on the same page.</t>
        </is>
      </c>
      <c r="H20" s="22" t="inlineStr">
        <is>
          <t>Correct error shown.</t>
        </is>
      </c>
      <c r="I20" s="5" t="inlineStr">
        <is>
          <t>Pass</t>
        </is>
      </c>
      <c r="J20" s="5" t="inlineStr"/>
      <c r="K20" s="22" t="inlineStr">
        <is>
          <t>TC14 Checkout-Validation - Checkout is blocked with the postal code error when postal code is missing</t>
        </is>
      </c>
    </row>
    <row r="21">
      <c r="A21" s="16" t="inlineStr">
        <is>
          <t>TS04</t>
        </is>
      </c>
      <c r="B21" s="16" t="inlineStr">
        <is>
          <t>TC15</t>
        </is>
      </c>
      <c r="C21" s="22" t="inlineStr">
        <is>
          <t>Place an order with two products</t>
        </is>
      </c>
      <c r="D21" s="22" t="inlineStr">
        <is>
          <t>User is logged in, cart is empty</t>
        </is>
      </c>
      <c r="E21" s="22" t="inlineStr">
        <is>
          <t>1. Open www.saucedemo.com
2. Enter username: standard_user
3. Enter password: secret_sauce
4. Click Login
5. Add Sauce Labs Backpack and Sauce Labs Bolt T-Shirt
6. Open the cart, click Checkout
7. Enter Test / Customer / 12345, click Continue
8. Check Item total, Tax and Total
9. Click Finish
10. Click Back Home and open the cart</t>
        </is>
      </c>
      <c r="F21" s="22" t="inlineStr">
        <is>
          <t>Backpack $29.99
Bolt T-Shirt $15.99
Test / Customer / 12345</t>
        </is>
      </c>
      <c r="G21" s="22" t="inlineStr">
        <is>
          <t>Item total = $29.99 + $15.99 = $45.98
Total = Item total + Tax
"Thank you for your order!" is shown
Cart is empty after the order</t>
        </is>
      </c>
      <c r="H21" s="22" t="inlineStr">
        <is>
          <t>Item total was $45.98. Total = Item total + Tax. Order completed. Cart was empty.</t>
        </is>
      </c>
      <c r="I21" s="5" t="inlineStr">
        <is>
          <t>Pass</t>
        </is>
      </c>
      <c r="J21" s="5" t="inlineStr"/>
      <c r="K21" s="22" t="inlineStr">
        <is>
          <t>TC15 Checkout-HappyPath - Completing checkout with two products charges item total plus tax and empties the cart</t>
        </is>
      </c>
    </row>
    <row r="22">
      <c r="A22" s="16" t="inlineStr">
        <is>
          <t>TS04</t>
        </is>
      </c>
      <c r="B22" s="16" t="inlineStr">
        <is>
          <t>TC17</t>
        </is>
      </c>
      <c r="C22" s="22" t="inlineStr">
        <is>
          <t>Cancel on the "Your Information" page</t>
        </is>
      </c>
      <c r="D22" s="22" t="inlineStr">
        <is>
          <t>User is logged in, 1 product in cart</t>
        </is>
      </c>
      <c r="E22" s="22" t="inlineStr">
        <is>
          <t>1. Open www.saucedemo.com
2. Enter username: standard_user
3. Enter password: secret_sauce
4. Click Login
5. Add Sauce Labs Fleece Jacket
6. Open the cart, click Checkout
7. Click Cancel</t>
        </is>
      </c>
      <c r="F22" s="22" t="inlineStr">
        <is>
          <t>Sauce Labs Fleece Jacket</t>
        </is>
      </c>
      <c r="G22" s="22" t="inlineStr">
        <is>
          <t>User goes back to the cart. Product is still in the cart. Cart number is 1.</t>
        </is>
      </c>
      <c r="H22" s="22" t="inlineStr">
        <is>
          <t>Worked as expected.</t>
        </is>
      </c>
      <c r="I22" s="5" t="inlineStr">
        <is>
          <t>Pass</t>
        </is>
      </c>
      <c r="J22" s="5" t="inlineStr"/>
      <c r="K22" s="22" t="inlineStr">
        <is>
          <t>TC17 Checkout-Cancel - Cancelling from the information step returns to the cart without placing an order</t>
        </is>
      </c>
    </row>
    <row r="23">
      <c r="A23" s="16" t="inlineStr">
        <is>
          <t>TS04</t>
        </is>
      </c>
      <c r="B23" s="16" t="inlineStr">
        <is>
          <t>TC17</t>
        </is>
      </c>
      <c r="C23" s="22" t="inlineStr">
        <is>
          <t>Cancel on the "Overview" page</t>
        </is>
      </c>
      <c r="D23" s="22" t="inlineStr">
        <is>
          <t>User is logged in, 2 products in cart</t>
        </is>
      </c>
      <c r="E23" s="22" t="inlineStr">
        <is>
          <t>1. Open www.saucedemo.com
2. Enter username: standard_user
3. Enter password: secret_sauce
4. Click Login
5. Add Sauce Labs Backpack and Sauce Labs Onesie
6. Open the cart, click Checkout
7. Enter details, click Continue
8. Click Cancel</t>
        </is>
      </c>
      <c r="F23" s="22" t="inlineStr">
        <is>
          <t>Backpack, Onesie
Test / Customer / 12345</t>
        </is>
      </c>
      <c r="G23" s="22" t="inlineStr">
        <is>
          <t>No order is placed. User goes to Products. Cart number is 2. Both products still in the cart.</t>
        </is>
      </c>
      <c r="H23" s="22" t="inlineStr">
        <is>
          <t>Worked as expected.</t>
        </is>
      </c>
      <c r="I23" s="5" t="inlineStr">
        <is>
          <t>Pass</t>
        </is>
      </c>
      <c r="J23" s="5" t="inlineStr"/>
      <c r="K23" s="22" t="inlineStr">
        <is>
          <t>TC17 Checkout-Cancel - Cancelling from the overview step leaves the order unplaced and the cart intact</t>
        </is>
      </c>
    </row>
    <row r="24">
      <c r="A24" s="18" t="inlineStr">
        <is>
          <t>TS05</t>
        </is>
      </c>
      <c r="B24" s="18" t="inlineStr">
        <is>
          <t>TC16</t>
        </is>
      </c>
      <c r="C24" s="22" t="inlineStr">
        <is>
          <t>Order total for 1, 2 and 6 products</t>
        </is>
      </c>
      <c r="D24" s="22" t="inlineStr">
        <is>
          <t>User is logged in, cart is empty</t>
        </is>
      </c>
      <c r="E24" s="22" t="inlineStr">
        <is>
          <t>1. Log in as standard_user
2. Add the products in the data row
3. Open the cart, click Checkout
4. Enter Test / Customer / 12345, click Continue
5. Check Item total, Tax and Total
6. Click Finish, then Back Home
7. Repeat for each data row</t>
        </is>
      </c>
      <c r="F24" s="22" t="inlineStr">
        <is>
          <t>Row 1: Onesie
Row 2: Backpack + Bike Light
Row 3: all 6 products</t>
        </is>
      </c>
      <c r="G24" s="22" t="inlineStr">
        <is>
          <t>Item total = sum of the prices
Total = Item total + Tax
Order completes, cart is empty</t>
        </is>
      </c>
      <c r="H24" s="22" t="inlineStr">
        <is>
          <t>Row 1: $7.99 + $0.64 = $8.63
Row 2: $39.98 + $3.20 = $43.18
Row 3: total matched</t>
        </is>
      </c>
      <c r="I24" s="5" t="inlineStr">
        <is>
          <t>Pass</t>
        </is>
      </c>
      <c r="J24" s="5" t="inlineStr"/>
      <c r="K24" s="22" t="inlineStr">
        <is>
          <t>TC16 OrderTotal - Order total equals item total plus tax for &lt;basket&gt;
(rows: one product, two products, all six products)</t>
        </is>
      </c>
    </row>
    <row r="25">
      <c r="A25" s="20" t="inlineStr">
        <is>
          <t>TS06</t>
        </is>
      </c>
      <c r="B25" s="20" t="inlineStr">
        <is>
          <t>TC22</t>
        </is>
      </c>
      <c r="C25" s="22" t="inlineStr">
        <is>
          <t>Open Products page after logout</t>
        </is>
      </c>
      <c r="D25" s="22" t="inlineStr">
        <is>
          <t>User is logged in</t>
        </is>
      </c>
      <c r="E25" s="22" t="inlineStr">
        <is>
          <t>1. Open www.saucedemo.com
2. Enter username: standard_user
3. Enter password: secret_sauce
4. Click Login
5. Open the menu, click Logout
6. Type www.saucedemo.com/inventory.html in the address bar</t>
        </is>
      </c>
      <c r="F25" s="22" t="inlineStr">
        <is>
          <t>-</t>
        </is>
      </c>
      <c r="G25" s="22" t="inlineStr">
        <is>
          <t>Login page is shown with: "Epic sadface: You can only access '/inventory.html' when you are logged in."</t>
        </is>
      </c>
      <c r="H25" s="22" t="inlineStr">
        <is>
          <t>Correct message shown. Products not visible.</t>
        </is>
      </c>
      <c r="I25" s="5" t="inlineStr">
        <is>
          <t>Pass</t>
        </is>
      </c>
      <c r="J25" s="5" t="inlineStr"/>
      <c r="K25" s="22" t="inlineStr">
        <is>
          <t>TC22 Session-Logout - After logout, direct navigation to /inventory.html does not show the Products page</t>
        </is>
      </c>
    </row>
    <row r="26">
      <c r="A26" s="20" t="inlineStr">
        <is>
          <t>TS06</t>
        </is>
      </c>
      <c r="B26" s="20" t="inlineStr">
        <is>
          <t>TC24</t>
        </is>
      </c>
      <c r="C26" s="22" t="inlineStr">
        <is>
          <t>Open shop pages without logging in</t>
        </is>
      </c>
      <c r="D26" s="22" t="inlineStr">
        <is>
          <t>User is not logged in</t>
        </is>
      </c>
      <c r="E26" s="22" t="inlineStr">
        <is>
          <t>1. Type each page address in the address bar
2. Check what is shown
3. Repeat for each data row</t>
        </is>
      </c>
      <c r="F26" s="22" t="inlineStr">
        <is>
          <t>Row 1: /cart.html
Row 2: /checkout-step-one.html
Row 3: /checkout-step-two.html
Row 4: /checkout-complete.html
Row 5: /inventory-item.html?id=4</t>
        </is>
      </c>
      <c r="G26" s="22" t="inlineStr">
        <is>
          <t>Login page is shown with: "You can only access '&lt;page&gt;' when you are logged in."</t>
        </is>
      </c>
      <c r="H26" s="22" t="inlineStr">
        <is>
          <t>Correct message shown for all 5 pages.</t>
        </is>
      </c>
      <c r="I26" s="5" t="inlineStr">
        <is>
          <t>Pass</t>
        </is>
      </c>
      <c r="J26" s="5" t="inlineStr"/>
      <c r="K26" s="22" t="inlineStr">
        <is>
          <t>TC24 Session-DeepLink - Unauthenticated deep link to &lt;path&gt; shows the login page
(rows: 5 pages)</t>
        </is>
      </c>
    </row>
  </sheetData>
  <autoFilter ref="A4:K26"/>
  <conditionalFormatting sqref="I5:I26">
    <cfRule type="cellIs" priority="1" operator="equal" dxfId="0">
      <formula>"Pass"</formula>
    </cfRule>
    <cfRule type="cellIs" priority="2" operator="equal" dxfId="1">
      <formula>"Fail"</formula>
    </cfRule>
  </conditionalFormatting>
  <dataValidations count="1">
    <dataValidation sqref="I5:I26" showDropDown="0" showInputMessage="0" showErrorMessage="0" allowBlank="1" type="list">
      <formula1>"Pass,Fail,Not Run"</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6" customWidth="1" min="1" max="1"/>
    <col width="12" customWidth="1" min="2" max="2"/>
    <col width="18" customWidth="1" min="3" max="3"/>
    <col width="14" customWidth="1" min="4" max="4"/>
  </cols>
  <sheetData>
    <row r="1">
      <c r="A1" s="1" t="inlineStr">
        <is>
          <t>Price Check - how the order total is worked out</t>
        </is>
      </c>
    </row>
    <row r="2">
      <c r="A2" s="2" t="inlineStr">
        <is>
          <t>Put 1 in the yellow "In Cart" column for each product you add on the website. Then compare these numbers with the Checkout: Overview page.</t>
        </is>
      </c>
    </row>
    <row r="4" ht="30" customHeight="1">
      <c r="A4" s="3" t="inlineStr">
        <is>
          <t>Product</t>
        </is>
      </c>
      <c r="B4" s="3" t="inlineStr">
        <is>
          <t>Price ($)</t>
        </is>
      </c>
      <c r="C4" s="3" t="inlineStr">
        <is>
          <t>In Cart (1 = yes)</t>
        </is>
      </c>
      <c r="D4" s="3" t="inlineStr">
        <is>
          <t>Amount ($)</t>
        </is>
      </c>
    </row>
    <row r="5">
      <c r="A5" s="22" t="inlineStr">
        <is>
          <t>Sauce Labs Onesie</t>
        </is>
      </c>
      <c r="B5" s="24" t="n">
        <v>7.99</v>
      </c>
      <c r="C5" s="16" t="n">
        <v>0</v>
      </c>
      <c r="D5" s="24">
        <f>B5*C5</f>
        <v/>
      </c>
    </row>
    <row r="6">
      <c r="A6" s="22" t="inlineStr">
        <is>
          <t>Sauce Labs Bike Light</t>
        </is>
      </c>
      <c r="B6" s="24" t="n">
        <v>9.99</v>
      </c>
      <c r="C6" s="16" t="n">
        <v>1</v>
      </c>
      <c r="D6" s="24">
        <f>B6*C6</f>
        <v/>
      </c>
    </row>
    <row r="7">
      <c r="A7" s="22" t="inlineStr">
        <is>
          <t>Sauce Labs Bolt T-Shirt</t>
        </is>
      </c>
      <c r="B7" s="24" t="n">
        <v>15.99</v>
      </c>
      <c r="C7" s="16" t="n">
        <v>0</v>
      </c>
      <c r="D7" s="24">
        <f>B7*C7</f>
        <v/>
      </c>
    </row>
    <row r="8">
      <c r="A8" s="22" t="inlineStr">
        <is>
          <t>Test.allTheThings() T-Shirt (Red)</t>
        </is>
      </c>
      <c r="B8" s="24" t="n">
        <v>15.99</v>
      </c>
      <c r="C8" s="16" t="n">
        <v>0</v>
      </c>
      <c r="D8" s="24">
        <f>B8*C8</f>
        <v/>
      </c>
    </row>
    <row r="9">
      <c r="A9" s="22" t="inlineStr">
        <is>
          <t>Sauce Labs Backpack</t>
        </is>
      </c>
      <c r="B9" s="24" t="n">
        <v>29.99</v>
      </c>
      <c r="C9" s="16" t="n">
        <v>1</v>
      </c>
      <c r="D9" s="24">
        <f>B9*C9</f>
        <v/>
      </c>
    </row>
    <row r="10">
      <c r="A10" s="22" t="inlineStr">
        <is>
          <t>Sauce Labs Fleece Jacket</t>
        </is>
      </c>
      <c r="B10" s="24" t="n">
        <v>49.99</v>
      </c>
      <c r="C10" s="16" t="n">
        <v>0</v>
      </c>
      <c r="D10" s="24">
        <f>B10*C10</f>
        <v/>
      </c>
    </row>
    <row r="12">
      <c r="A12" s="4" t="inlineStr">
        <is>
          <t>Item total</t>
        </is>
      </c>
      <c r="B12" s="24">
        <f>SUM(D5:D10)</f>
        <v/>
      </c>
    </row>
    <row r="13">
      <c r="A13" s="4" t="inlineStr">
        <is>
          <t>Tax rate</t>
        </is>
      </c>
      <c r="B13" s="25" t="n">
        <v>0.08</v>
      </c>
      <c r="C13" s="26" t="inlineStr">
        <is>
          <t>Seen on the website ($7.99 gives $0.64 tax). The business did not give this number - confirm it.</t>
        </is>
      </c>
    </row>
    <row r="14">
      <c r="A14" s="4" t="inlineStr">
        <is>
          <t>Tax</t>
        </is>
      </c>
      <c r="B14" s="24">
        <f>ROUND(B12*B13,2)</f>
        <v/>
      </c>
    </row>
    <row r="15">
      <c r="A15" s="4" t="inlineStr">
        <is>
          <t>Total</t>
        </is>
      </c>
      <c r="B15" s="27">
        <f>B12+B14</f>
        <v/>
      </c>
    </row>
    <row r="17">
      <c r="A17" s="28" t="inlineStr">
        <is>
          <t>How to check on the website:</t>
        </is>
      </c>
    </row>
    <row r="18">
      <c r="A18" s="21" t="inlineStr">
        <is>
          <t>1. Add the same products on www.saucedemo.com.</t>
        </is>
      </c>
    </row>
    <row r="19">
      <c r="A19" s="21" t="inlineStr">
        <is>
          <t>2. Go to Cart &gt; Checkout &gt; enter any name and zip &gt; Continue.</t>
        </is>
      </c>
    </row>
    <row r="20">
      <c r="A20" s="21" t="inlineStr">
        <is>
          <t>3. The Overview page shows "Item total", "Tax" and "Total".</t>
        </is>
      </c>
    </row>
    <row r="21">
      <c r="A21" s="21" t="inlineStr">
        <is>
          <t>4. They should match B12, B14 and B15 on this sheet.</t>
        </is>
      </c>
    </row>
    <row r="22">
      <c r="A22" s="21" t="inlineStr">
        <is>
          <t>Example already filled in: Backpack + Bike Light = $39.98, tax $3.20, total $43.18 (matches the website).</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2026-10-27T16:26:59Z</dcterms:created>
  <dcterms:modified xmlns:dcterms="http://purl.org/dc/terms/" xmlns:xsi="http://www.w3.org/2001/XMLSchema-instance" xsi:type="dcterms:W3CDTF">2026-10-27T16:26:59Z</dcterms:modified>
</cp:coreProperties>
</file>